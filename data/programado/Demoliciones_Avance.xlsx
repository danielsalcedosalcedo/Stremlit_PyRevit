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AECODE\Curso Python\sesion_24_python_ia\Aplicacion_EI\"/>
    </mc:Choice>
  </mc:AlternateContent>
  <xr:revisionPtr revIDLastSave="0" documentId="13_ncr:1_{7BDB6C8A-9FAA-4BFC-9750-D1A3DFDE0D52}" xr6:coauthVersionLast="47" xr6:coauthVersionMax="47" xr10:uidLastSave="{00000000-0000-0000-0000-000000000000}"/>
  <bookViews>
    <workbookView xWindow="384" yWindow="384" windowWidth="22404" windowHeight="8112" tabRatio="500" xr2:uid="{00000000-000D-0000-FFFF-FFFF00000000}"/>
  </bookViews>
  <sheets>
    <sheet name="Datos" sheetId="1" r:id="rId1"/>
    <sheet name="Avance Diario" sheetId="2" r:id="rId2"/>
    <sheet name="Avance Semanal" sheetId="3" r:id="rId3"/>
  </sheets>
  <calcPr calcId="18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Q49" i="2" l="1"/>
  <c r="AP49" i="2"/>
  <c r="AO49" i="2"/>
  <c r="I48" i="3" s="1"/>
  <c r="AN49" i="2"/>
  <c r="AM49" i="2"/>
  <c r="AL49" i="2"/>
  <c r="AK49" i="2"/>
  <c r="AJ49" i="2"/>
  <c r="AI49" i="2"/>
  <c r="AH49" i="2"/>
  <c r="AG49" i="2"/>
  <c r="AF49" i="2"/>
  <c r="AE49" i="2"/>
  <c r="AD49" i="2"/>
  <c r="AC49" i="2"/>
  <c r="AB49" i="2"/>
  <c r="AA49" i="2"/>
  <c r="G48" i="3" s="1"/>
  <c r="Z49" i="2"/>
  <c r="Y49" i="2"/>
  <c r="X49" i="2"/>
  <c r="W49" i="2"/>
  <c r="V49" i="2"/>
  <c r="U49" i="2"/>
  <c r="T49" i="2"/>
  <c r="F48" i="3" s="1"/>
  <c r="S49" i="2"/>
  <c r="R49" i="2"/>
  <c r="Q49" i="2"/>
  <c r="P49" i="2"/>
  <c r="O49" i="2"/>
  <c r="N49" i="2"/>
  <c r="M49" i="2"/>
  <c r="E48" i="3" s="1"/>
  <c r="L49" i="2"/>
  <c r="K49" i="2"/>
  <c r="J49" i="2"/>
  <c r="I49" i="2"/>
  <c r="H49" i="2"/>
  <c r="G49" i="2"/>
  <c r="AQ47" i="2"/>
  <c r="AP47" i="2"/>
  <c r="AO47" i="2"/>
  <c r="AN47" i="2"/>
  <c r="AM47" i="2"/>
  <c r="AL47" i="2"/>
  <c r="AK47" i="2"/>
  <c r="AJ47" i="2"/>
  <c r="AI47" i="2"/>
  <c r="AH47" i="2"/>
  <c r="AG47" i="2"/>
  <c r="AF47" i="2"/>
  <c r="AE47" i="2"/>
  <c r="AD47" i="2"/>
  <c r="AC47" i="2"/>
  <c r="AB47" i="2"/>
  <c r="AA47" i="2"/>
  <c r="Z47" i="2"/>
  <c r="Y47" i="2"/>
  <c r="X47" i="2"/>
  <c r="W47" i="2"/>
  <c r="V47" i="2"/>
  <c r="U47" i="2"/>
  <c r="T47" i="2"/>
  <c r="S47" i="2"/>
  <c r="R47" i="2"/>
  <c r="Q47" i="2"/>
  <c r="P47" i="2"/>
  <c r="O47" i="2"/>
  <c r="N47" i="2"/>
  <c r="M47" i="2"/>
  <c r="L47" i="2"/>
  <c r="K47" i="2"/>
  <c r="J47" i="2"/>
  <c r="I47" i="2"/>
  <c r="H47" i="2"/>
  <c r="AN48" i="2" s="1"/>
  <c r="G47" i="2"/>
  <c r="W46" i="2"/>
  <c r="AQ45" i="2"/>
  <c r="AP45" i="2"/>
  <c r="AO45" i="2"/>
  <c r="AN45" i="2"/>
  <c r="AM45" i="2"/>
  <c r="AL45" i="2"/>
  <c r="AK45" i="2"/>
  <c r="AJ45" i="2"/>
  <c r="AI45" i="2"/>
  <c r="AH45" i="2"/>
  <c r="H44" i="3" s="1"/>
  <c r="AG45" i="2"/>
  <c r="AF45" i="2"/>
  <c r="AE45" i="2"/>
  <c r="AD45" i="2"/>
  <c r="AC45" i="2"/>
  <c r="AB45" i="2"/>
  <c r="AA45" i="2"/>
  <c r="G44" i="3" s="1"/>
  <c r="Z45" i="2"/>
  <c r="Y45" i="2"/>
  <c r="X45" i="2"/>
  <c r="W45" i="2"/>
  <c r="V45" i="2"/>
  <c r="U45" i="2"/>
  <c r="T45" i="2"/>
  <c r="S45" i="2"/>
  <c r="R45" i="2"/>
  <c r="Q45" i="2"/>
  <c r="P45" i="2"/>
  <c r="O45" i="2"/>
  <c r="N45" i="2"/>
  <c r="M45" i="2"/>
  <c r="L45" i="2"/>
  <c r="K45" i="2"/>
  <c r="J45" i="2"/>
  <c r="Z46" i="2" s="1"/>
  <c r="I45" i="2"/>
  <c r="H45" i="2"/>
  <c r="G45" i="2"/>
  <c r="AH46" i="2" s="1"/>
  <c r="L44" i="2"/>
  <c r="I44" i="2"/>
  <c r="G44" i="2"/>
  <c r="AQ43" i="2"/>
  <c r="AP43" i="2"/>
  <c r="AO43" i="2"/>
  <c r="I42" i="3" s="1"/>
  <c r="AN43" i="2"/>
  <c r="AM43" i="2"/>
  <c r="AL43" i="2"/>
  <c r="AK43" i="2"/>
  <c r="AJ43" i="2"/>
  <c r="AI43" i="2"/>
  <c r="AH43" i="2"/>
  <c r="AG43" i="2"/>
  <c r="AF43" i="2"/>
  <c r="AE43" i="2"/>
  <c r="AD43" i="2"/>
  <c r="AC43" i="2"/>
  <c r="AB43" i="2"/>
  <c r="AA43" i="2"/>
  <c r="Z43" i="2"/>
  <c r="Y43" i="2"/>
  <c r="X43" i="2"/>
  <c r="W43" i="2"/>
  <c r="V43" i="2"/>
  <c r="U43" i="2"/>
  <c r="T43" i="2"/>
  <c r="S43" i="2"/>
  <c r="R43" i="2"/>
  <c r="Q43" i="2"/>
  <c r="P43" i="2"/>
  <c r="O43" i="2"/>
  <c r="N43" i="2"/>
  <c r="AG44" i="2" s="1"/>
  <c r="M43" i="2"/>
  <c r="L43" i="2"/>
  <c r="K43" i="2"/>
  <c r="J43" i="2"/>
  <c r="I43" i="2"/>
  <c r="H43" i="2"/>
  <c r="G43" i="2"/>
  <c r="AQ42" i="2"/>
  <c r="AQ41" i="2"/>
  <c r="AP41" i="2"/>
  <c r="AO41" i="2"/>
  <c r="I40" i="3" s="1"/>
  <c r="AN41" i="2"/>
  <c r="AM41" i="2"/>
  <c r="AL41" i="2"/>
  <c r="AK41" i="2"/>
  <c r="AJ41" i="2"/>
  <c r="AI41" i="2"/>
  <c r="AH41" i="2"/>
  <c r="AG41" i="2"/>
  <c r="AF41" i="2"/>
  <c r="AE41" i="2"/>
  <c r="AD41" i="2"/>
  <c r="AC41" i="2"/>
  <c r="AB41" i="2"/>
  <c r="AA41" i="2"/>
  <c r="Z41" i="2"/>
  <c r="Y41" i="2"/>
  <c r="X41" i="2"/>
  <c r="W41" i="2"/>
  <c r="V41" i="2"/>
  <c r="U41" i="2"/>
  <c r="T41" i="2"/>
  <c r="S41" i="2"/>
  <c r="R41" i="2"/>
  <c r="Q41" i="2"/>
  <c r="P41" i="2"/>
  <c r="O41" i="2"/>
  <c r="N41" i="2"/>
  <c r="M41" i="2"/>
  <c r="L41" i="2"/>
  <c r="K41" i="2"/>
  <c r="J41" i="2"/>
  <c r="I41" i="2"/>
  <c r="H41" i="2"/>
  <c r="G41" i="2"/>
  <c r="AC40" i="2"/>
  <c r="AA40" i="2"/>
  <c r="H40" i="2"/>
  <c r="G40" i="2"/>
  <c r="AQ39" i="2"/>
  <c r="AP39" i="2"/>
  <c r="AO39" i="2"/>
  <c r="AN39" i="2"/>
  <c r="AM39" i="2"/>
  <c r="AL39" i="2"/>
  <c r="AK39" i="2"/>
  <c r="AJ39" i="2"/>
  <c r="AI39" i="2"/>
  <c r="AH39" i="2"/>
  <c r="AG39" i="2"/>
  <c r="AF39" i="2"/>
  <c r="AE39" i="2"/>
  <c r="AD39" i="2"/>
  <c r="AC39" i="2"/>
  <c r="AB39" i="2"/>
  <c r="AA39" i="2"/>
  <c r="Z39" i="2"/>
  <c r="Y39" i="2"/>
  <c r="X39" i="2"/>
  <c r="W39" i="2"/>
  <c r="V39" i="2"/>
  <c r="U39" i="2"/>
  <c r="T39" i="2"/>
  <c r="S39" i="2"/>
  <c r="R39" i="2"/>
  <c r="Q39" i="2"/>
  <c r="P39" i="2"/>
  <c r="O39" i="2"/>
  <c r="N39" i="2"/>
  <c r="M39" i="2"/>
  <c r="E38" i="3" s="1"/>
  <c r="L39" i="2"/>
  <c r="K39" i="2"/>
  <c r="J39" i="2"/>
  <c r="I39" i="2"/>
  <c r="H39" i="2"/>
  <c r="AF40" i="2" s="1"/>
  <c r="G39" i="2"/>
  <c r="O38" i="2"/>
  <c r="AQ37" i="2"/>
  <c r="AP37" i="2"/>
  <c r="AO37" i="2"/>
  <c r="AN37" i="2"/>
  <c r="AM37" i="2"/>
  <c r="AL37" i="2"/>
  <c r="AK37" i="2"/>
  <c r="AJ37" i="2"/>
  <c r="AI37" i="2"/>
  <c r="AH37" i="2"/>
  <c r="AG37" i="2"/>
  <c r="AF37" i="2"/>
  <c r="AE37" i="2"/>
  <c r="AD37" i="2"/>
  <c r="AC37" i="2"/>
  <c r="AB37" i="2"/>
  <c r="AA37" i="2"/>
  <c r="Z37" i="2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H37" i="2"/>
  <c r="G37" i="2"/>
  <c r="AK38" i="2" s="1"/>
  <c r="AE36" i="2"/>
  <c r="Y36" i="2"/>
  <c r="W36" i="2"/>
  <c r="I36" i="2"/>
  <c r="G36" i="2"/>
  <c r="AQ35" i="2"/>
  <c r="AP35" i="2"/>
  <c r="AO35" i="2"/>
  <c r="I34" i="3" s="1"/>
  <c r="AN35" i="2"/>
  <c r="AM35" i="2"/>
  <c r="AL35" i="2"/>
  <c r="AK35" i="2"/>
  <c r="AJ35" i="2"/>
  <c r="AI35" i="2"/>
  <c r="AH35" i="2"/>
  <c r="H34" i="3" s="1"/>
  <c r="AG35" i="2"/>
  <c r="AF35" i="2"/>
  <c r="AE35" i="2"/>
  <c r="AD35" i="2"/>
  <c r="AC35" i="2"/>
  <c r="AB35" i="2"/>
  <c r="AA35" i="2"/>
  <c r="G34" i="3" s="1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E34" i="3" s="1"/>
  <c r="L35" i="2"/>
  <c r="K35" i="2"/>
  <c r="J35" i="2"/>
  <c r="I35" i="2"/>
  <c r="H35" i="2"/>
  <c r="AJ36" i="2" s="1"/>
  <c r="G35" i="2"/>
  <c r="AQ33" i="2"/>
  <c r="AP33" i="2"/>
  <c r="AO33" i="2"/>
  <c r="I32" i="3" s="1"/>
  <c r="AN33" i="2"/>
  <c r="AM33" i="2"/>
  <c r="AL33" i="2"/>
  <c r="AK33" i="2"/>
  <c r="AJ33" i="2"/>
  <c r="AI33" i="2"/>
  <c r="AH33" i="2"/>
  <c r="AG33" i="2"/>
  <c r="AF33" i="2"/>
  <c r="AE33" i="2"/>
  <c r="AD33" i="2"/>
  <c r="AC33" i="2"/>
  <c r="AB33" i="2"/>
  <c r="AA33" i="2"/>
  <c r="Z33" i="2"/>
  <c r="Y33" i="2"/>
  <c r="X33" i="2"/>
  <c r="W33" i="2"/>
  <c r="V33" i="2"/>
  <c r="U33" i="2"/>
  <c r="T33" i="2"/>
  <c r="S33" i="2"/>
  <c r="R33" i="2"/>
  <c r="Q33" i="2"/>
  <c r="P33" i="2"/>
  <c r="O33" i="2"/>
  <c r="N33" i="2"/>
  <c r="AL34" i="2" s="1"/>
  <c r="M33" i="2"/>
  <c r="L33" i="2"/>
  <c r="K33" i="2"/>
  <c r="J33" i="2"/>
  <c r="I33" i="2"/>
  <c r="H33" i="2"/>
  <c r="G33" i="2"/>
  <c r="AQ32" i="2"/>
  <c r="AC32" i="2"/>
  <c r="AQ31" i="2"/>
  <c r="AP31" i="2"/>
  <c r="AO31" i="2"/>
  <c r="AN31" i="2"/>
  <c r="AM31" i="2"/>
  <c r="AL31" i="2"/>
  <c r="AK31" i="2"/>
  <c r="AJ31" i="2"/>
  <c r="AI31" i="2"/>
  <c r="AH31" i="2"/>
  <c r="H30" i="3" s="1"/>
  <c r="AG31" i="2"/>
  <c r="AF31" i="2"/>
  <c r="AE31" i="2"/>
  <c r="AD31" i="2"/>
  <c r="AC31" i="2"/>
  <c r="AB31" i="2"/>
  <c r="AA31" i="2"/>
  <c r="G30" i="3" s="1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AE32" i="2" s="1"/>
  <c r="I31" i="2"/>
  <c r="H31" i="2"/>
  <c r="AJ32" i="2" s="1"/>
  <c r="G31" i="2"/>
  <c r="AC30" i="2"/>
  <c r="N30" i="2"/>
  <c r="AQ29" i="2"/>
  <c r="AP29" i="2"/>
  <c r="AO29" i="2"/>
  <c r="AN29" i="2"/>
  <c r="AM29" i="2"/>
  <c r="AL29" i="2"/>
  <c r="AK29" i="2"/>
  <c r="AJ29" i="2"/>
  <c r="AI29" i="2"/>
  <c r="AH29" i="2"/>
  <c r="AG29" i="2"/>
  <c r="AF29" i="2"/>
  <c r="AE29" i="2"/>
  <c r="AD29" i="2"/>
  <c r="AC29" i="2"/>
  <c r="AB29" i="2"/>
  <c r="AA29" i="2"/>
  <c r="G28" i="3" s="1"/>
  <c r="Z29" i="2"/>
  <c r="Y29" i="2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J29" i="2"/>
  <c r="M30" i="2" s="1"/>
  <c r="I29" i="2"/>
  <c r="H29" i="2"/>
  <c r="AF30" i="2" s="1"/>
  <c r="G29" i="2"/>
  <c r="H28" i="2"/>
  <c r="G28" i="2"/>
  <c r="AQ27" i="2"/>
  <c r="AP27" i="2"/>
  <c r="AO27" i="2"/>
  <c r="AN27" i="2"/>
  <c r="AM27" i="2"/>
  <c r="AL27" i="2"/>
  <c r="AK27" i="2"/>
  <c r="AJ27" i="2"/>
  <c r="AI27" i="2"/>
  <c r="AH27" i="2"/>
  <c r="AG27" i="2"/>
  <c r="AF27" i="2"/>
  <c r="AE27" i="2"/>
  <c r="AD27" i="2"/>
  <c r="AC27" i="2"/>
  <c r="AB27" i="2"/>
  <c r="AA27" i="2"/>
  <c r="Z27" i="2"/>
  <c r="Y27" i="2"/>
  <c r="X27" i="2"/>
  <c r="W27" i="2"/>
  <c r="V27" i="2"/>
  <c r="U27" i="2"/>
  <c r="T27" i="2"/>
  <c r="F26" i="3" s="1"/>
  <c r="S27" i="2"/>
  <c r="R27" i="2"/>
  <c r="Q27" i="2"/>
  <c r="P27" i="2"/>
  <c r="O27" i="2"/>
  <c r="N27" i="2"/>
  <c r="M27" i="2"/>
  <c r="E26" i="3" s="1"/>
  <c r="L27" i="2"/>
  <c r="AF28" i="2" s="1"/>
  <c r="K27" i="2"/>
  <c r="J27" i="2"/>
  <c r="I27" i="2"/>
  <c r="H27" i="2"/>
  <c r="G27" i="2"/>
  <c r="AH26" i="2"/>
  <c r="I26" i="2"/>
  <c r="AQ25" i="2"/>
  <c r="AP25" i="2"/>
  <c r="AO25" i="2"/>
  <c r="I24" i="3" s="1"/>
  <c r="AN25" i="2"/>
  <c r="AM25" i="2"/>
  <c r="AL25" i="2"/>
  <c r="AK25" i="2"/>
  <c r="AJ25" i="2"/>
  <c r="AI25" i="2"/>
  <c r="AH25" i="2"/>
  <c r="AG25" i="2"/>
  <c r="AF25" i="2"/>
  <c r="AE25" i="2"/>
  <c r="AD25" i="2"/>
  <c r="AC25" i="2"/>
  <c r="AB25" i="2"/>
  <c r="AA25" i="2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Z26" i="2" s="1"/>
  <c r="M25" i="2"/>
  <c r="L25" i="2"/>
  <c r="K25" i="2"/>
  <c r="J25" i="2"/>
  <c r="I25" i="2"/>
  <c r="H25" i="2"/>
  <c r="G25" i="2"/>
  <c r="AP26" i="2" s="1"/>
  <c r="AQ23" i="2"/>
  <c r="AP23" i="2"/>
  <c r="AO23" i="2"/>
  <c r="I22" i="3" s="1"/>
  <c r="AN23" i="2"/>
  <c r="AM23" i="2"/>
  <c r="AL23" i="2"/>
  <c r="AK23" i="2"/>
  <c r="AJ23" i="2"/>
  <c r="AI23" i="2"/>
  <c r="AH23" i="2"/>
  <c r="AG23" i="2"/>
  <c r="AF23" i="2"/>
  <c r="AE23" i="2"/>
  <c r="AD23" i="2"/>
  <c r="AC23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T24" i="2" s="1"/>
  <c r="H23" i="2"/>
  <c r="G23" i="2"/>
  <c r="U22" i="2"/>
  <c r="H22" i="2"/>
  <c r="AQ21" i="2"/>
  <c r="AP21" i="2"/>
  <c r="AO21" i="2"/>
  <c r="AN21" i="2"/>
  <c r="AM21" i="2"/>
  <c r="AL21" i="2"/>
  <c r="AK21" i="2"/>
  <c r="AJ21" i="2"/>
  <c r="AI21" i="2"/>
  <c r="AH21" i="2"/>
  <c r="H20" i="3" s="1"/>
  <c r="AG21" i="2"/>
  <c r="AF21" i="2"/>
  <c r="AE21" i="2"/>
  <c r="AD21" i="2"/>
  <c r="AC21" i="2"/>
  <c r="AB21" i="2"/>
  <c r="AA21" i="2"/>
  <c r="G20" i="3" s="1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J21" i="2"/>
  <c r="M22" i="2" s="1"/>
  <c r="I21" i="2"/>
  <c r="H21" i="2"/>
  <c r="G21" i="2"/>
  <c r="AO22" i="2" s="1"/>
  <c r="X20" i="2"/>
  <c r="O20" i="2"/>
  <c r="H20" i="2"/>
  <c r="G20" i="2"/>
  <c r="AQ19" i="2"/>
  <c r="AP19" i="2"/>
  <c r="AO19" i="2"/>
  <c r="I18" i="3" s="1"/>
  <c r="AN19" i="2"/>
  <c r="AM19" i="2"/>
  <c r="AL19" i="2"/>
  <c r="AK19" i="2"/>
  <c r="AJ19" i="2"/>
  <c r="AI19" i="2"/>
  <c r="AH19" i="2"/>
  <c r="AG19" i="2"/>
  <c r="AF19" i="2"/>
  <c r="AE19" i="2"/>
  <c r="AD19" i="2"/>
  <c r="AC19" i="2"/>
  <c r="AB19" i="2"/>
  <c r="AA19" i="2"/>
  <c r="Z19" i="2"/>
  <c r="Y19" i="2"/>
  <c r="X19" i="2"/>
  <c r="W19" i="2"/>
  <c r="V19" i="2"/>
  <c r="U19" i="2"/>
  <c r="T19" i="2"/>
  <c r="F18" i="3" s="1"/>
  <c r="S19" i="2"/>
  <c r="R19" i="2"/>
  <c r="Q19" i="2"/>
  <c r="P19" i="2"/>
  <c r="O19" i="2"/>
  <c r="N19" i="2"/>
  <c r="M19" i="2"/>
  <c r="E18" i="3" s="1"/>
  <c r="L19" i="2"/>
  <c r="AN20" i="2" s="1"/>
  <c r="K19" i="2"/>
  <c r="J19" i="2"/>
  <c r="I19" i="2"/>
  <c r="H19" i="2"/>
  <c r="G19" i="2"/>
  <c r="AP18" i="2"/>
  <c r="Y18" i="2"/>
  <c r="J18" i="2"/>
  <c r="AQ17" i="2"/>
  <c r="AP17" i="2"/>
  <c r="AO17" i="2"/>
  <c r="I16" i="3" s="1"/>
  <c r="AN17" i="2"/>
  <c r="AM17" i="2"/>
  <c r="AL17" i="2"/>
  <c r="AK17" i="2"/>
  <c r="AJ17" i="2"/>
  <c r="AI17" i="2"/>
  <c r="AH17" i="2"/>
  <c r="AG17" i="2"/>
  <c r="AF17" i="2"/>
  <c r="AE17" i="2"/>
  <c r="AD17" i="2"/>
  <c r="AC17" i="2"/>
  <c r="AB17" i="2"/>
  <c r="AA17" i="2"/>
  <c r="Z17" i="2"/>
  <c r="Y17" i="2"/>
  <c r="X17" i="2"/>
  <c r="W17" i="2"/>
  <c r="V17" i="2"/>
  <c r="U17" i="2"/>
  <c r="T17" i="2"/>
  <c r="S17" i="2"/>
  <c r="R17" i="2"/>
  <c r="Q17" i="2"/>
  <c r="P17" i="2"/>
  <c r="O17" i="2"/>
  <c r="N17" i="2"/>
  <c r="AH18" i="2" s="1"/>
  <c r="M17" i="2"/>
  <c r="L17" i="2"/>
  <c r="K17" i="2"/>
  <c r="J17" i="2"/>
  <c r="I17" i="2"/>
  <c r="H17" i="2"/>
  <c r="G17" i="2"/>
  <c r="Q18" i="2" s="1"/>
  <c r="AJ16" i="2"/>
  <c r="S16" i="2"/>
  <c r="AQ15" i="2"/>
  <c r="AP15" i="2"/>
  <c r="AO15" i="2"/>
  <c r="I14" i="3" s="1"/>
  <c r="AN15" i="2"/>
  <c r="AM15" i="2"/>
  <c r="AL15" i="2"/>
  <c r="AK15" i="2"/>
  <c r="AJ15" i="2"/>
  <c r="AI15" i="2"/>
  <c r="AH15" i="2"/>
  <c r="AG15" i="2"/>
  <c r="AF15" i="2"/>
  <c r="AE15" i="2"/>
  <c r="AD15" i="2"/>
  <c r="AC15" i="2"/>
  <c r="AB15" i="2"/>
  <c r="AA15" i="2"/>
  <c r="Z15" i="2"/>
  <c r="Y15" i="2"/>
  <c r="X15" i="2"/>
  <c r="W15" i="2"/>
  <c r="V15" i="2"/>
  <c r="U15" i="2"/>
  <c r="T15" i="2"/>
  <c r="S15" i="2"/>
  <c r="R15" i="2"/>
  <c r="Q15" i="2"/>
  <c r="P15" i="2"/>
  <c r="O15" i="2"/>
  <c r="N15" i="2"/>
  <c r="M15" i="2"/>
  <c r="L15" i="2"/>
  <c r="K15" i="2"/>
  <c r="J15" i="2"/>
  <c r="I15" i="2"/>
  <c r="AB16" i="2" s="1"/>
  <c r="H15" i="2"/>
  <c r="T16" i="2" s="1"/>
  <c r="G15" i="2"/>
  <c r="AL14" i="2"/>
  <c r="AC14" i="2"/>
  <c r="H14" i="2"/>
  <c r="AQ13" i="2"/>
  <c r="AP13" i="2"/>
  <c r="AO13" i="2"/>
  <c r="AN13" i="2"/>
  <c r="AM13" i="2"/>
  <c r="AL13" i="2"/>
  <c r="AK13" i="2"/>
  <c r="AJ13" i="2"/>
  <c r="AI13" i="2"/>
  <c r="AH13" i="2"/>
  <c r="H12" i="3" s="1"/>
  <c r="AG13" i="2"/>
  <c r="AF13" i="2"/>
  <c r="AE13" i="2"/>
  <c r="AD13" i="2"/>
  <c r="AC13" i="2"/>
  <c r="AB13" i="2"/>
  <c r="AA13" i="2"/>
  <c r="G12" i="3" s="1"/>
  <c r="Z13" i="2"/>
  <c r="Y13" i="2"/>
  <c r="X13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AF12" i="2"/>
  <c r="X12" i="2"/>
  <c r="W12" i="2"/>
  <c r="O12" i="2"/>
  <c r="H12" i="2"/>
  <c r="AQ11" i="2"/>
  <c r="AP11" i="2"/>
  <c r="AO11" i="2"/>
  <c r="I10" i="3" s="1"/>
  <c r="AN11" i="2"/>
  <c r="AM11" i="2"/>
  <c r="AL11" i="2"/>
  <c r="AK11" i="2"/>
  <c r="AJ11" i="2"/>
  <c r="AI11" i="2"/>
  <c r="AH11" i="2"/>
  <c r="AG11" i="2"/>
  <c r="AF11" i="2"/>
  <c r="AE11" i="2"/>
  <c r="AD11" i="2"/>
  <c r="AC11" i="2"/>
  <c r="AB11" i="2"/>
  <c r="AA11" i="2"/>
  <c r="Z11" i="2"/>
  <c r="Y11" i="2"/>
  <c r="X11" i="2"/>
  <c r="W11" i="2"/>
  <c r="V11" i="2"/>
  <c r="U11" i="2"/>
  <c r="T11" i="2"/>
  <c r="S11" i="2"/>
  <c r="R11" i="2"/>
  <c r="Q11" i="2"/>
  <c r="P11" i="2"/>
  <c r="O11" i="2"/>
  <c r="N11" i="2"/>
  <c r="M11" i="2"/>
  <c r="E10" i="3" s="1"/>
  <c r="L11" i="2"/>
  <c r="K11" i="2"/>
  <c r="J11" i="2"/>
  <c r="I11" i="2"/>
  <c r="H11" i="2"/>
  <c r="G11" i="2"/>
  <c r="AM12" i="2" s="1"/>
  <c r="AQ9" i="2"/>
  <c r="AP9" i="2"/>
  <c r="AO9" i="2"/>
  <c r="I8" i="3" s="1"/>
  <c r="AN9" i="2"/>
  <c r="AM9" i="2"/>
  <c r="AL9" i="2"/>
  <c r="AK9" i="2"/>
  <c r="AJ9" i="2"/>
  <c r="AI9" i="2"/>
  <c r="AH9" i="2"/>
  <c r="AG9" i="2"/>
  <c r="AF9" i="2"/>
  <c r="AE9" i="2"/>
  <c r="AD9" i="2"/>
  <c r="AC9" i="2"/>
  <c r="AB9" i="2"/>
  <c r="AA9" i="2"/>
  <c r="Z9" i="2"/>
  <c r="Y9" i="2"/>
  <c r="X9" i="2"/>
  <c r="W9" i="2"/>
  <c r="V9" i="2"/>
  <c r="U9" i="2"/>
  <c r="T9" i="2"/>
  <c r="S9" i="2"/>
  <c r="R9" i="2"/>
  <c r="Q9" i="2"/>
  <c r="P9" i="2"/>
  <c r="O9" i="2"/>
  <c r="N9" i="2"/>
  <c r="M9" i="2"/>
  <c r="L9" i="2"/>
  <c r="K9" i="2"/>
  <c r="L10" i="2" s="1"/>
  <c r="J9" i="2"/>
  <c r="I9" i="2"/>
  <c r="AP10" i="2" s="1"/>
  <c r="H9" i="2"/>
  <c r="G9" i="2"/>
  <c r="I8" i="2"/>
  <c r="AQ7" i="2"/>
  <c r="AP7" i="2"/>
  <c r="AO7" i="2"/>
  <c r="AN7" i="2"/>
  <c r="AM7" i="2"/>
  <c r="AL7" i="2"/>
  <c r="AK7" i="2"/>
  <c r="AJ7" i="2"/>
  <c r="AI7" i="2"/>
  <c r="AH7" i="2"/>
  <c r="AG7" i="2"/>
  <c r="AF7" i="2"/>
  <c r="AE7" i="2"/>
  <c r="AD7" i="2"/>
  <c r="AC7" i="2"/>
  <c r="AB7" i="2"/>
  <c r="AA7" i="2"/>
  <c r="G6" i="3" s="1"/>
  <c r="Z7" i="2"/>
  <c r="Y7" i="2"/>
  <c r="X7" i="2"/>
  <c r="W7" i="2"/>
  <c r="V7" i="2"/>
  <c r="U7" i="2"/>
  <c r="T7" i="2"/>
  <c r="S7" i="2"/>
  <c r="R7" i="2"/>
  <c r="Q7" i="2"/>
  <c r="P7" i="2"/>
  <c r="O7" i="2"/>
  <c r="N7" i="2"/>
  <c r="M7" i="2"/>
  <c r="L7" i="2"/>
  <c r="K7" i="2"/>
  <c r="AG8" i="2" s="1"/>
  <c r="J7" i="2"/>
  <c r="I7" i="2"/>
  <c r="L8" i="2" s="1"/>
  <c r="H7" i="2"/>
  <c r="AJ8" i="2" s="1"/>
  <c r="G7" i="2"/>
  <c r="AO8" i="2" s="1"/>
  <c r="H6" i="2"/>
  <c r="AQ5" i="2"/>
  <c r="AP5" i="2"/>
  <c r="AO5" i="2"/>
  <c r="AN5" i="2"/>
  <c r="AM5" i="2"/>
  <c r="AL5" i="2"/>
  <c r="AK5" i="2"/>
  <c r="AJ5" i="2"/>
  <c r="AI5" i="2"/>
  <c r="AH5" i="2"/>
  <c r="AG5" i="2"/>
  <c r="AF5" i="2"/>
  <c r="AE5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O5" i="2"/>
  <c r="N5" i="2"/>
  <c r="M5" i="2"/>
  <c r="E4" i="3" s="1"/>
  <c r="L5" i="2"/>
  <c r="K5" i="2"/>
  <c r="J5" i="2"/>
  <c r="I5" i="2"/>
  <c r="H5" i="2"/>
  <c r="AL6" i="2" s="1"/>
  <c r="G5" i="2"/>
  <c r="AO6" i="2" s="1"/>
  <c r="AQ3" i="2"/>
  <c r="AP3" i="2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S3" i="2"/>
  <c r="R3" i="2"/>
  <c r="Q3" i="2"/>
  <c r="P3" i="2"/>
  <c r="O3" i="2"/>
  <c r="N3" i="2"/>
  <c r="M3" i="2"/>
  <c r="L3" i="2"/>
  <c r="K3" i="2"/>
  <c r="J3" i="2"/>
  <c r="I3" i="2"/>
  <c r="H3" i="2"/>
  <c r="G3" i="2"/>
  <c r="D2" i="3" s="1"/>
  <c r="AM28" i="2" l="1"/>
  <c r="Y34" i="2"/>
  <c r="S48" i="2"/>
  <c r="K4" i="2"/>
  <c r="S4" i="2"/>
  <c r="AA4" i="2"/>
  <c r="AI4" i="2"/>
  <c r="AQ4" i="2"/>
  <c r="I6" i="2"/>
  <c r="Q6" i="2"/>
  <c r="Y6" i="2"/>
  <c r="AG6" i="2"/>
  <c r="F6" i="3"/>
  <c r="G8" i="2"/>
  <c r="O8" i="2"/>
  <c r="W8" i="2"/>
  <c r="AE8" i="2"/>
  <c r="AN8" i="2"/>
  <c r="I10" i="2"/>
  <c r="AB10" i="2"/>
  <c r="AN14" i="2"/>
  <c r="AF14" i="2"/>
  <c r="X14" i="2"/>
  <c r="P14" i="2"/>
  <c r="AD14" i="2"/>
  <c r="K16" i="2"/>
  <c r="AQ16" i="2"/>
  <c r="AO20" i="2"/>
  <c r="P20" i="2"/>
  <c r="V22" i="2"/>
  <c r="AI24" i="2"/>
  <c r="AO26" i="2"/>
  <c r="AN28" i="2"/>
  <c r="U30" i="2"/>
  <c r="D32" i="3"/>
  <c r="AN34" i="2"/>
  <c r="AF34" i="2"/>
  <c r="X34" i="2"/>
  <c r="P34" i="2"/>
  <c r="H34" i="2"/>
  <c r="AM34" i="2"/>
  <c r="AE34" i="2"/>
  <c r="W34" i="2"/>
  <c r="O34" i="2"/>
  <c r="G34" i="2"/>
  <c r="AJ34" i="2"/>
  <c r="AB34" i="2"/>
  <c r="T34" i="2"/>
  <c r="L34" i="2"/>
  <c r="AI34" i="2"/>
  <c r="V34" i="2"/>
  <c r="J34" i="2"/>
  <c r="AH34" i="2"/>
  <c r="U34" i="2"/>
  <c r="I34" i="2"/>
  <c r="AG34" i="2"/>
  <c r="S34" i="2"/>
  <c r="AQ34" i="2"/>
  <c r="AD34" i="2"/>
  <c r="R34" i="2"/>
  <c r="AP34" i="2"/>
  <c r="AC34" i="2"/>
  <c r="Q34" i="2"/>
  <c r="AO34" i="2"/>
  <c r="AA34" i="2"/>
  <c r="N34" i="2"/>
  <c r="Z34" i="2"/>
  <c r="AL42" i="2"/>
  <c r="Q42" i="2"/>
  <c r="AI42" i="2"/>
  <c r="N42" i="2"/>
  <c r="AG42" i="2"/>
  <c r="K42" i="2"/>
  <c r="AD42" i="2"/>
  <c r="I42" i="2"/>
  <c r="AA42" i="2"/>
  <c r="Y42" i="2"/>
  <c r="AE44" i="2"/>
  <c r="AK48" i="2"/>
  <c r="X6" i="2"/>
  <c r="AD8" i="2"/>
  <c r="Z10" i="2"/>
  <c r="AB24" i="2"/>
  <c r="I2" i="3"/>
  <c r="L4" i="2"/>
  <c r="T4" i="2"/>
  <c r="AB4" i="2"/>
  <c r="AJ4" i="2"/>
  <c r="D4" i="3"/>
  <c r="J6" i="2"/>
  <c r="R6" i="2"/>
  <c r="Z6" i="2"/>
  <c r="AH6" i="2"/>
  <c r="AP6" i="2"/>
  <c r="E6" i="3"/>
  <c r="H8" i="2"/>
  <c r="P8" i="2"/>
  <c r="X8" i="2"/>
  <c r="AF8" i="2"/>
  <c r="J10" i="2"/>
  <c r="AG10" i="2"/>
  <c r="AE12" i="2"/>
  <c r="AK14" i="2"/>
  <c r="L16" i="2"/>
  <c r="D16" i="3"/>
  <c r="AN18" i="2"/>
  <c r="AF18" i="2"/>
  <c r="X18" i="2"/>
  <c r="P18" i="2"/>
  <c r="H18" i="2"/>
  <c r="AM18" i="2"/>
  <c r="AE18" i="2"/>
  <c r="W18" i="2"/>
  <c r="O18" i="2"/>
  <c r="G18" i="2"/>
  <c r="AL18" i="2"/>
  <c r="AD18" i="2"/>
  <c r="V18" i="2"/>
  <c r="N18" i="2"/>
  <c r="AK18" i="2"/>
  <c r="AC18" i="2"/>
  <c r="U18" i="2"/>
  <c r="M18" i="2"/>
  <c r="AJ18" i="2"/>
  <c r="AB18" i="2"/>
  <c r="T18" i="2"/>
  <c r="L18" i="2"/>
  <c r="AQ18" i="2"/>
  <c r="AI18" i="2"/>
  <c r="AA18" i="2"/>
  <c r="S18" i="2"/>
  <c r="K18" i="2"/>
  <c r="R18" i="2"/>
  <c r="W20" i="2"/>
  <c r="AC22" i="2"/>
  <c r="AJ24" i="2"/>
  <c r="J26" i="2"/>
  <c r="O28" i="2"/>
  <c r="AP30" i="2"/>
  <c r="V30" i="2"/>
  <c r="AK34" i="2"/>
  <c r="AI40" i="2"/>
  <c r="AJ48" i="2"/>
  <c r="AF6" i="2"/>
  <c r="AM8" i="2"/>
  <c r="M4" i="2"/>
  <c r="U4" i="2"/>
  <c r="AK4" i="2"/>
  <c r="K6" i="2"/>
  <c r="AI6" i="2"/>
  <c r="Y8" i="2"/>
  <c r="AQ8" i="2"/>
  <c r="AH10" i="2"/>
  <c r="K24" i="2"/>
  <c r="AO28" i="2"/>
  <c r="AI48" i="2"/>
  <c r="M48" i="2"/>
  <c r="AF48" i="2"/>
  <c r="K48" i="2"/>
  <c r="AC48" i="2"/>
  <c r="H48" i="2"/>
  <c r="AA48" i="2"/>
  <c r="X48" i="2"/>
  <c r="AQ48" i="2"/>
  <c r="U48" i="2"/>
  <c r="G2" i="3"/>
  <c r="N4" i="2"/>
  <c r="V4" i="2"/>
  <c r="AD4" i="2"/>
  <c r="AL4" i="2"/>
  <c r="I4" i="3"/>
  <c r="L6" i="2"/>
  <c r="T6" i="2"/>
  <c r="AB6" i="2"/>
  <c r="AJ6" i="2"/>
  <c r="D6" i="3"/>
  <c r="AP8" i="2"/>
  <c r="AK8" i="2"/>
  <c r="J8" i="2"/>
  <c r="R8" i="2"/>
  <c r="Z8" i="2"/>
  <c r="AH8" i="2"/>
  <c r="D8" i="3"/>
  <c r="AN10" i="2"/>
  <c r="AF10" i="2"/>
  <c r="X10" i="2"/>
  <c r="P10" i="2"/>
  <c r="H10" i="2"/>
  <c r="AM10" i="2"/>
  <c r="AE10" i="2"/>
  <c r="W10" i="2"/>
  <c r="O10" i="2"/>
  <c r="G10" i="2"/>
  <c r="AL10" i="2"/>
  <c r="AD10" i="2"/>
  <c r="V10" i="2"/>
  <c r="N10" i="2"/>
  <c r="AK10" i="2"/>
  <c r="AC10" i="2"/>
  <c r="U10" i="2"/>
  <c r="M10" i="2"/>
  <c r="AQ10" i="2"/>
  <c r="AI10" i="2"/>
  <c r="AA10" i="2"/>
  <c r="S10" i="2"/>
  <c r="K10" i="2"/>
  <c r="Q10" i="2"/>
  <c r="AJ10" i="2"/>
  <c r="F10" i="3"/>
  <c r="G12" i="2"/>
  <c r="M14" i="2"/>
  <c r="AO16" i="2"/>
  <c r="Z18" i="2"/>
  <c r="AE20" i="2"/>
  <c r="AK22" i="2"/>
  <c r="L24" i="2"/>
  <c r="D24" i="3"/>
  <c r="AN26" i="2"/>
  <c r="AF26" i="2"/>
  <c r="X26" i="2"/>
  <c r="P26" i="2"/>
  <c r="H26" i="2"/>
  <c r="AM26" i="2"/>
  <c r="AE26" i="2"/>
  <c r="W26" i="2"/>
  <c r="O26" i="2"/>
  <c r="G26" i="2"/>
  <c r="AL26" i="2"/>
  <c r="AD26" i="2"/>
  <c r="V26" i="2"/>
  <c r="N26" i="2"/>
  <c r="AK26" i="2"/>
  <c r="AC26" i="2"/>
  <c r="U26" i="2"/>
  <c r="M26" i="2"/>
  <c r="AJ26" i="2"/>
  <c r="AB26" i="2"/>
  <c r="T26" i="2"/>
  <c r="L26" i="2"/>
  <c r="AQ26" i="2"/>
  <c r="AI26" i="2"/>
  <c r="AA26" i="2"/>
  <c r="S26" i="2"/>
  <c r="K26" i="2"/>
  <c r="R26" i="2"/>
  <c r="W28" i="2"/>
  <c r="AD30" i="2"/>
  <c r="P32" i="2"/>
  <c r="R38" i="2"/>
  <c r="F38" i="3"/>
  <c r="Z4" i="2"/>
  <c r="AP4" i="2"/>
  <c r="AN6" i="2"/>
  <c r="F2" i="3"/>
  <c r="G4" i="2"/>
  <c r="O4" i="2"/>
  <c r="W4" i="2"/>
  <c r="AE4" i="2"/>
  <c r="AM4" i="2"/>
  <c r="H4" i="3"/>
  <c r="M6" i="2"/>
  <c r="U6" i="2"/>
  <c r="AC6" i="2"/>
  <c r="AK6" i="2"/>
  <c r="K8" i="2"/>
  <c r="S8" i="2"/>
  <c r="AA8" i="2"/>
  <c r="AI8" i="2"/>
  <c r="R10" i="2"/>
  <c r="AO10" i="2"/>
  <c r="AN12" i="2"/>
  <c r="N14" i="2"/>
  <c r="AL16" i="2"/>
  <c r="AD16" i="2"/>
  <c r="V16" i="2"/>
  <c r="N16" i="2"/>
  <c r="AA16" i="2"/>
  <c r="AG18" i="2"/>
  <c r="AF20" i="2"/>
  <c r="AL22" i="2"/>
  <c r="S24" i="2"/>
  <c r="Y26" i="2"/>
  <c r="X28" i="2"/>
  <c r="H28" i="3"/>
  <c r="AK30" i="2"/>
  <c r="S32" i="2"/>
  <c r="S42" i="2"/>
  <c r="R4" i="2"/>
  <c r="AH4" i="2"/>
  <c r="N8" i="2"/>
  <c r="AC4" i="2"/>
  <c r="AA6" i="2"/>
  <c r="AQ24" i="2"/>
  <c r="Q26" i="2"/>
  <c r="P28" i="2"/>
  <c r="P4" i="2"/>
  <c r="N6" i="2"/>
  <c r="AD6" i="2"/>
  <c r="I6" i="3"/>
  <c r="T8" i="2"/>
  <c r="AB8" i="2"/>
  <c r="T10" i="2"/>
  <c r="AO14" i="2"/>
  <c r="U14" i="2"/>
  <c r="AM20" i="2"/>
  <c r="AO24" i="2"/>
  <c r="AE28" i="2"/>
  <c r="AL30" i="2"/>
  <c r="K34" i="2"/>
  <c r="AL38" i="2"/>
  <c r="AD38" i="2"/>
  <c r="V38" i="2"/>
  <c r="N38" i="2"/>
  <c r="D36" i="3"/>
  <c r="AJ38" i="2"/>
  <c r="AB38" i="2"/>
  <c r="T38" i="2"/>
  <c r="L38" i="2"/>
  <c r="AQ38" i="2"/>
  <c r="AI38" i="2"/>
  <c r="AA38" i="2"/>
  <c r="S38" i="2"/>
  <c r="K38" i="2"/>
  <c r="AO38" i="2"/>
  <c r="AG38" i="2"/>
  <c r="Y38" i="2"/>
  <c r="Q38" i="2"/>
  <c r="I38" i="2"/>
  <c r="AN38" i="2"/>
  <c r="AF38" i="2"/>
  <c r="X38" i="2"/>
  <c r="P38" i="2"/>
  <c r="H38" i="2"/>
  <c r="AH38" i="2"/>
  <c r="M38" i="2"/>
  <c r="AE38" i="2"/>
  <c r="J38" i="2"/>
  <c r="AC38" i="2"/>
  <c r="G38" i="2"/>
  <c r="Z38" i="2"/>
  <c r="W38" i="2"/>
  <c r="AP38" i="2"/>
  <c r="U38" i="2"/>
  <c r="AM38" i="2"/>
  <c r="V42" i="2"/>
  <c r="AE46" i="2"/>
  <c r="J46" i="2"/>
  <c r="E3" i="3"/>
  <c r="D3" i="3"/>
  <c r="G3" i="3"/>
  <c r="J4" i="2"/>
  <c r="P6" i="2"/>
  <c r="V8" i="2"/>
  <c r="H2" i="3"/>
  <c r="S6" i="2"/>
  <c r="AQ6" i="2"/>
  <c r="Q8" i="2"/>
  <c r="AN22" i="2"/>
  <c r="AF22" i="2"/>
  <c r="X22" i="2"/>
  <c r="P22" i="2"/>
  <c r="AD22" i="2"/>
  <c r="AB44" i="2"/>
  <c r="E2" i="3"/>
  <c r="F3" i="3" s="1"/>
  <c r="H4" i="2"/>
  <c r="X4" i="2"/>
  <c r="AF4" i="2"/>
  <c r="AN4" i="2"/>
  <c r="G4" i="3"/>
  <c r="V6" i="2"/>
  <c r="I4" i="2"/>
  <c r="Q4" i="2"/>
  <c r="Y4" i="2"/>
  <c r="AG4" i="2"/>
  <c r="AO4" i="2"/>
  <c r="F4" i="3"/>
  <c r="G6" i="2"/>
  <c r="O6" i="2"/>
  <c r="W6" i="2"/>
  <c r="AE6" i="2"/>
  <c r="AM6" i="2"/>
  <c r="H6" i="3"/>
  <c r="M8" i="2"/>
  <c r="U8" i="2"/>
  <c r="AC8" i="2"/>
  <c r="AL8" i="2"/>
  <c r="Y10" i="2"/>
  <c r="D10" i="3"/>
  <c r="AL12" i="2"/>
  <c r="AD12" i="2"/>
  <c r="V12" i="2"/>
  <c r="N12" i="2"/>
  <c r="AK12" i="2"/>
  <c r="AC12" i="2"/>
  <c r="U12" i="2"/>
  <c r="M12" i="2"/>
  <c r="AJ12" i="2"/>
  <c r="AB12" i="2"/>
  <c r="T12" i="2"/>
  <c r="L12" i="2"/>
  <c r="AQ12" i="2"/>
  <c r="AI12" i="2"/>
  <c r="AA12" i="2"/>
  <c r="S12" i="2"/>
  <c r="K12" i="2"/>
  <c r="AP12" i="2"/>
  <c r="AH12" i="2"/>
  <c r="Z12" i="2"/>
  <c r="R12" i="2"/>
  <c r="J12" i="2"/>
  <c r="AO12" i="2"/>
  <c r="AG12" i="2"/>
  <c r="Y12" i="2"/>
  <c r="Q12" i="2"/>
  <c r="I12" i="2"/>
  <c r="P12" i="2"/>
  <c r="V14" i="2"/>
  <c r="AI16" i="2"/>
  <c r="I18" i="2"/>
  <c r="AO18" i="2"/>
  <c r="N22" i="2"/>
  <c r="AL24" i="2"/>
  <c r="AD24" i="2"/>
  <c r="V24" i="2"/>
  <c r="N24" i="2"/>
  <c r="AA24" i="2"/>
  <c r="AG26" i="2"/>
  <c r="AI32" i="2"/>
  <c r="M34" i="2"/>
  <c r="AO42" i="2"/>
  <c r="E42" i="3"/>
  <c r="P48" i="2"/>
  <c r="F12" i="3"/>
  <c r="G14" i="2"/>
  <c r="O14" i="2"/>
  <c r="W14" i="2"/>
  <c r="AE14" i="2"/>
  <c r="AM14" i="2"/>
  <c r="H14" i="3"/>
  <c r="M16" i="2"/>
  <c r="U16" i="2"/>
  <c r="AC16" i="2"/>
  <c r="AK16" i="2"/>
  <c r="I20" i="2"/>
  <c r="Q20" i="2"/>
  <c r="Y20" i="2"/>
  <c r="AG20" i="2"/>
  <c r="F20" i="3"/>
  <c r="G22" i="2"/>
  <c r="O22" i="2"/>
  <c r="W22" i="2"/>
  <c r="AE22" i="2"/>
  <c r="AM22" i="2"/>
  <c r="H22" i="3"/>
  <c r="M24" i="2"/>
  <c r="U24" i="2"/>
  <c r="AC24" i="2"/>
  <c r="AK24" i="2"/>
  <c r="I28" i="2"/>
  <c r="Q28" i="2"/>
  <c r="Y28" i="2"/>
  <c r="AG28" i="2"/>
  <c r="F28" i="3"/>
  <c r="G30" i="2"/>
  <c r="O30" i="2"/>
  <c r="W30" i="2"/>
  <c r="AE30" i="2"/>
  <c r="AM30" i="2"/>
  <c r="F30" i="3"/>
  <c r="G32" i="2"/>
  <c r="T32" i="2"/>
  <c r="AF32" i="2"/>
  <c r="F34" i="3"/>
  <c r="AB36" i="2"/>
  <c r="I36" i="3"/>
  <c r="K40" i="2"/>
  <c r="H40" i="3"/>
  <c r="AN44" i="2"/>
  <c r="O44" i="2"/>
  <c r="AJ44" i="2"/>
  <c r="F44" i="3"/>
  <c r="G46" i="2"/>
  <c r="AC46" i="2"/>
  <c r="I46" i="3"/>
  <c r="E12" i="3"/>
  <c r="G14" i="3"/>
  <c r="D18" i="3"/>
  <c r="J20" i="2"/>
  <c r="R20" i="2"/>
  <c r="Z20" i="2"/>
  <c r="AH20" i="2"/>
  <c r="AP20" i="2"/>
  <c r="E20" i="3"/>
  <c r="G22" i="3"/>
  <c r="D26" i="3"/>
  <c r="J28" i="2"/>
  <c r="R28" i="2"/>
  <c r="Z28" i="2"/>
  <c r="AH28" i="2"/>
  <c r="AP28" i="2"/>
  <c r="E28" i="3"/>
  <c r="H30" i="2"/>
  <c r="P30" i="2"/>
  <c r="X30" i="2"/>
  <c r="AO30" i="2"/>
  <c r="E30" i="3"/>
  <c r="H32" i="2"/>
  <c r="U32" i="2"/>
  <c r="H36" i="3"/>
  <c r="AJ40" i="2"/>
  <c r="M40" i="2"/>
  <c r="G40" i="3"/>
  <c r="Q44" i="2"/>
  <c r="AM44" i="2"/>
  <c r="E44" i="3"/>
  <c r="H46" i="3"/>
  <c r="AQ50" i="2"/>
  <c r="H8" i="3"/>
  <c r="I14" i="2"/>
  <c r="Q14" i="2"/>
  <c r="Y14" i="2"/>
  <c r="AG14" i="2"/>
  <c r="F14" i="3"/>
  <c r="G16" i="2"/>
  <c r="O16" i="2"/>
  <c r="W16" i="2"/>
  <c r="AE16" i="2"/>
  <c r="AM16" i="2"/>
  <c r="H16" i="3"/>
  <c r="K20" i="2"/>
  <c r="S20" i="2"/>
  <c r="AA20" i="2"/>
  <c r="AI20" i="2"/>
  <c r="AQ20" i="2"/>
  <c r="I22" i="2"/>
  <c r="Q22" i="2"/>
  <c r="Y22" i="2"/>
  <c r="AG22" i="2"/>
  <c r="F22" i="3"/>
  <c r="G24" i="2"/>
  <c r="O24" i="2"/>
  <c r="W24" i="2"/>
  <c r="AE24" i="2"/>
  <c r="AM24" i="2"/>
  <c r="H24" i="3"/>
  <c r="K28" i="2"/>
  <c r="S28" i="2"/>
  <c r="AA28" i="2"/>
  <c r="AI28" i="2"/>
  <c r="AQ28" i="2"/>
  <c r="I30" i="2"/>
  <c r="Q30" i="2"/>
  <c r="Y30" i="2"/>
  <c r="AG30" i="2"/>
  <c r="K32" i="2"/>
  <c r="W32" i="2"/>
  <c r="H32" i="3"/>
  <c r="L36" i="2"/>
  <c r="AG36" i="2"/>
  <c r="G36" i="3"/>
  <c r="AE40" i="2"/>
  <c r="W40" i="2"/>
  <c r="O40" i="2"/>
  <c r="P40" i="2"/>
  <c r="AK40" i="2"/>
  <c r="F40" i="3"/>
  <c r="T44" i="2"/>
  <c r="AO44" i="2"/>
  <c r="M46" i="2"/>
  <c r="G46" i="3"/>
  <c r="G8" i="3"/>
  <c r="D12" i="3"/>
  <c r="J14" i="2"/>
  <c r="R14" i="2"/>
  <c r="Z14" i="2"/>
  <c r="AH14" i="2"/>
  <c r="AP14" i="2"/>
  <c r="E14" i="3"/>
  <c r="H16" i="2"/>
  <c r="P16" i="2"/>
  <c r="X16" i="2"/>
  <c r="AF16" i="2"/>
  <c r="AN16" i="2"/>
  <c r="G16" i="3"/>
  <c r="L20" i="2"/>
  <c r="T20" i="2"/>
  <c r="AB20" i="2"/>
  <c r="AJ20" i="2"/>
  <c r="D20" i="3"/>
  <c r="J22" i="2"/>
  <c r="R22" i="2"/>
  <c r="Z22" i="2"/>
  <c r="AH22" i="2"/>
  <c r="AP22" i="2"/>
  <c r="E22" i="3"/>
  <c r="H24" i="2"/>
  <c r="P24" i="2"/>
  <c r="X24" i="2"/>
  <c r="AF24" i="2"/>
  <c r="AN24" i="2"/>
  <c r="G24" i="3"/>
  <c r="I26" i="3"/>
  <c r="L28" i="2"/>
  <c r="T28" i="2"/>
  <c r="AB28" i="2"/>
  <c r="AJ28" i="2"/>
  <c r="D28" i="3"/>
  <c r="AQ30" i="2"/>
  <c r="AN30" i="2"/>
  <c r="J30" i="2"/>
  <c r="R30" i="2"/>
  <c r="Z30" i="2"/>
  <c r="AH30" i="2"/>
  <c r="AP32" i="2"/>
  <c r="AH32" i="2"/>
  <c r="Z32" i="2"/>
  <c r="R32" i="2"/>
  <c r="J32" i="2"/>
  <c r="AO32" i="2"/>
  <c r="AG32" i="2"/>
  <c r="Y32" i="2"/>
  <c r="Q32" i="2"/>
  <c r="I32" i="2"/>
  <c r="D30" i="3"/>
  <c r="AL32" i="2"/>
  <c r="AD32" i="2"/>
  <c r="V32" i="2"/>
  <c r="N32" i="2"/>
  <c r="L32" i="2"/>
  <c r="X32" i="2"/>
  <c r="AK32" i="2"/>
  <c r="G32" i="3"/>
  <c r="AL36" i="2"/>
  <c r="O36" i="2"/>
  <c r="F36" i="3"/>
  <c r="I38" i="3"/>
  <c r="S40" i="2"/>
  <c r="AN40" i="2"/>
  <c r="E40" i="3"/>
  <c r="H42" i="3"/>
  <c r="W44" i="2"/>
  <c r="AL46" i="2"/>
  <c r="AD46" i="2"/>
  <c r="V46" i="2"/>
  <c r="N46" i="2"/>
  <c r="D44" i="3"/>
  <c r="AJ46" i="2"/>
  <c r="AB46" i="2"/>
  <c r="T46" i="2"/>
  <c r="L46" i="2"/>
  <c r="AQ46" i="2"/>
  <c r="AI46" i="2"/>
  <c r="AA46" i="2"/>
  <c r="S46" i="2"/>
  <c r="K46" i="2"/>
  <c r="AO46" i="2"/>
  <c r="AG46" i="2"/>
  <c r="Y46" i="2"/>
  <c r="Q46" i="2"/>
  <c r="I46" i="2"/>
  <c r="AN46" i="2"/>
  <c r="AF46" i="2"/>
  <c r="X46" i="2"/>
  <c r="P46" i="2"/>
  <c r="H46" i="2"/>
  <c r="O46" i="2"/>
  <c r="AK46" i="2"/>
  <c r="F46" i="3"/>
  <c r="F8" i="3"/>
  <c r="H10" i="3"/>
  <c r="K14" i="2"/>
  <c r="S14" i="2"/>
  <c r="AA14" i="2"/>
  <c r="AI14" i="2"/>
  <c r="AQ14" i="2"/>
  <c r="I16" i="2"/>
  <c r="Q16" i="2"/>
  <c r="Y16" i="2"/>
  <c r="AG16" i="2"/>
  <c r="F16" i="3"/>
  <c r="H18" i="3"/>
  <c r="M20" i="2"/>
  <c r="U20" i="2"/>
  <c r="AC20" i="2"/>
  <c r="AK20" i="2"/>
  <c r="K22" i="2"/>
  <c r="S22" i="2"/>
  <c r="AA22" i="2"/>
  <c r="AI22" i="2"/>
  <c r="AQ22" i="2"/>
  <c r="I24" i="2"/>
  <c r="Q24" i="2"/>
  <c r="Y24" i="2"/>
  <c r="AG24" i="2"/>
  <c r="F24" i="3"/>
  <c r="H26" i="3"/>
  <c r="M28" i="2"/>
  <c r="U28" i="2"/>
  <c r="AC28" i="2"/>
  <c r="AK28" i="2"/>
  <c r="K30" i="2"/>
  <c r="S30" i="2"/>
  <c r="AA30" i="2"/>
  <c r="AI30" i="2"/>
  <c r="M32" i="2"/>
  <c r="AA32" i="2"/>
  <c r="AM32" i="2"/>
  <c r="F32" i="3"/>
  <c r="AN36" i="2"/>
  <c r="AF36" i="2"/>
  <c r="X36" i="2"/>
  <c r="P36" i="2"/>
  <c r="H36" i="2"/>
  <c r="AQ36" i="2"/>
  <c r="AI36" i="2"/>
  <c r="AA36" i="2"/>
  <c r="S36" i="2"/>
  <c r="K36" i="2"/>
  <c r="Q36" i="2"/>
  <c r="AM36" i="2"/>
  <c r="E36" i="3"/>
  <c r="H38" i="3"/>
  <c r="U40" i="2"/>
  <c r="AQ40" i="2"/>
  <c r="G42" i="3"/>
  <c r="Y44" i="2"/>
  <c r="R46" i="2"/>
  <c r="AM46" i="2"/>
  <c r="E46" i="3"/>
  <c r="H48" i="3"/>
  <c r="E8" i="3"/>
  <c r="G10" i="3"/>
  <c r="I12" i="3"/>
  <c r="L14" i="2"/>
  <c r="T14" i="2"/>
  <c r="AB14" i="2"/>
  <c r="AJ14" i="2"/>
  <c r="D14" i="3"/>
  <c r="J16" i="2"/>
  <c r="R16" i="2"/>
  <c r="Z16" i="2"/>
  <c r="AH16" i="2"/>
  <c r="AP16" i="2"/>
  <c r="E16" i="3"/>
  <c r="G18" i="3"/>
  <c r="N20" i="2"/>
  <c r="V20" i="2"/>
  <c r="AD20" i="2"/>
  <c r="AL20" i="2"/>
  <c r="I20" i="3"/>
  <c r="L22" i="2"/>
  <c r="T22" i="2"/>
  <c r="AB22" i="2"/>
  <c r="AJ22" i="2"/>
  <c r="D22" i="3"/>
  <c r="J24" i="2"/>
  <c r="R24" i="2"/>
  <c r="Z24" i="2"/>
  <c r="AH24" i="2"/>
  <c r="AP24" i="2"/>
  <c r="E24" i="3"/>
  <c r="G26" i="3"/>
  <c r="N28" i="2"/>
  <c r="V28" i="2"/>
  <c r="AD28" i="2"/>
  <c r="AL28" i="2"/>
  <c r="I28" i="3"/>
  <c r="L30" i="2"/>
  <c r="T30" i="2"/>
  <c r="AB30" i="2"/>
  <c r="AJ30" i="2"/>
  <c r="I30" i="3"/>
  <c r="O32" i="2"/>
  <c r="AB32" i="2"/>
  <c r="AN32" i="2"/>
  <c r="E32" i="3"/>
  <c r="T36" i="2"/>
  <c r="AO36" i="2"/>
  <c r="G38" i="3"/>
  <c r="X40" i="2"/>
  <c r="AP42" i="2"/>
  <c r="F42" i="3"/>
  <c r="I44" i="3"/>
  <c r="U46" i="2"/>
  <c r="AP46" i="2"/>
  <c r="J36" i="2"/>
  <c r="R36" i="2"/>
  <c r="Z36" i="2"/>
  <c r="AH36" i="2"/>
  <c r="AP36" i="2"/>
  <c r="N40" i="2"/>
  <c r="V40" i="2"/>
  <c r="AD40" i="2"/>
  <c r="AL40" i="2"/>
  <c r="L42" i="2"/>
  <c r="T42" i="2"/>
  <c r="AB42" i="2"/>
  <c r="AJ42" i="2"/>
  <c r="J44" i="2"/>
  <c r="R44" i="2"/>
  <c r="Z44" i="2"/>
  <c r="AH44" i="2"/>
  <c r="AP44" i="2"/>
  <c r="N48" i="2"/>
  <c r="V48" i="2"/>
  <c r="AD48" i="2"/>
  <c r="AL48" i="2"/>
  <c r="L50" i="2"/>
  <c r="T50" i="2"/>
  <c r="AB50" i="2"/>
  <c r="AJ50" i="2"/>
  <c r="D34" i="3"/>
  <c r="D38" i="3"/>
  <c r="D42" i="3"/>
  <c r="D46" i="3"/>
  <c r="AM40" i="2"/>
  <c r="M42" i="2"/>
  <c r="U42" i="2"/>
  <c r="AC42" i="2"/>
  <c r="AK42" i="2"/>
  <c r="K44" i="2"/>
  <c r="S44" i="2"/>
  <c r="AA44" i="2"/>
  <c r="AI44" i="2"/>
  <c r="AQ44" i="2"/>
  <c r="G48" i="2"/>
  <c r="O48" i="2"/>
  <c r="W48" i="2"/>
  <c r="AE48" i="2"/>
  <c r="AM48" i="2"/>
  <c r="M50" i="2"/>
  <c r="U50" i="2"/>
  <c r="AC50" i="2"/>
  <c r="AK50" i="2"/>
  <c r="N50" i="2"/>
  <c r="V50" i="2"/>
  <c r="AD50" i="2"/>
  <c r="AL50" i="2"/>
  <c r="M36" i="2"/>
  <c r="U36" i="2"/>
  <c r="AC36" i="2"/>
  <c r="AK36" i="2"/>
  <c r="I40" i="2"/>
  <c r="Q40" i="2"/>
  <c r="Y40" i="2"/>
  <c r="AG40" i="2"/>
  <c r="AO40" i="2"/>
  <c r="G42" i="2"/>
  <c r="O42" i="2"/>
  <c r="W42" i="2"/>
  <c r="AE42" i="2"/>
  <c r="AM42" i="2"/>
  <c r="M44" i="2"/>
  <c r="U44" i="2"/>
  <c r="AC44" i="2"/>
  <c r="AK44" i="2"/>
  <c r="I48" i="2"/>
  <c r="Q48" i="2"/>
  <c r="Y48" i="2"/>
  <c r="AG48" i="2"/>
  <c r="AO48" i="2"/>
  <c r="G50" i="2"/>
  <c r="O50" i="2"/>
  <c r="W50" i="2"/>
  <c r="AE50" i="2"/>
  <c r="AM50" i="2"/>
  <c r="N36" i="2"/>
  <c r="V36" i="2"/>
  <c r="AD36" i="2"/>
  <c r="J40" i="2"/>
  <c r="R40" i="2"/>
  <c r="Z40" i="2"/>
  <c r="AH40" i="2"/>
  <c r="AP40" i="2"/>
  <c r="H42" i="2"/>
  <c r="P42" i="2"/>
  <c r="X42" i="2"/>
  <c r="AF42" i="2"/>
  <c r="AN42" i="2"/>
  <c r="N44" i="2"/>
  <c r="V44" i="2"/>
  <c r="AD44" i="2"/>
  <c r="AL44" i="2"/>
  <c r="J48" i="2"/>
  <c r="R48" i="2"/>
  <c r="Z48" i="2"/>
  <c r="AH48" i="2"/>
  <c r="AP48" i="2"/>
  <c r="H50" i="2"/>
  <c r="P50" i="2"/>
  <c r="X50" i="2"/>
  <c r="AF50" i="2"/>
  <c r="AN50" i="2"/>
  <c r="D40" i="3"/>
  <c r="D48" i="3"/>
  <c r="I50" i="2"/>
  <c r="Q50" i="2"/>
  <c r="Y50" i="2"/>
  <c r="AG50" i="2"/>
  <c r="AO50" i="2"/>
  <c r="L40" i="2"/>
  <c r="T40" i="2"/>
  <c r="AB40" i="2"/>
  <c r="J42" i="2"/>
  <c r="R42" i="2"/>
  <c r="Z42" i="2"/>
  <c r="AH42" i="2"/>
  <c r="H44" i="2"/>
  <c r="P44" i="2"/>
  <c r="X44" i="2"/>
  <c r="AF44" i="2"/>
  <c r="L48" i="2"/>
  <c r="T48" i="2"/>
  <c r="AB48" i="2"/>
  <c r="J50" i="2"/>
  <c r="R50" i="2"/>
  <c r="Z50" i="2"/>
  <c r="AH50" i="2"/>
  <c r="AP50" i="2"/>
  <c r="K50" i="2"/>
  <c r="S50" i="2"/>
  <c r="AA50" i="2"/>
  <c r="AI50" i="2"/>
  <c r="I21" i="3" l="1"/>
  <c r="H21" i="3"/>
  <c r="G21" i="3"/>
  <c r="F21" i="3"/>
  <c r="E21" i="3"/>
  <c r="D21" i="3"/>
  <c r="E35" i="3"/>
  <c r="D35" i="3"/>
  <c r="I35" i="3"/>
  <c r="H35" i="3"/>
  <c r="G35" i="3"/>
  <c r="F35" i="3"/>
  <c r="I13" i="3"/>
  <c r="H13" i="3"/>
  <c r="G13" i="3"/>
  <c r="F13" i="3"/>
  <c r="E13" i="3"/>
  <c r="D13" i="3"/>
  <c r="E11" i="3"/>
  <c r="D11" i="3"/>
  <c r="I11" i="3"/>
  <c r="H11" i="3"/>
  <c r="G11" i="3"/>
  <c r="F11" i="3"/>
  <c r="H3" i="3"/>
  <c r="I9" i="3"/>
  <c r="H9" i="3"/>
  <c r="G9" i="3"/>
  <c r="F9" i="3"/>
  <c r="E9" i="3"/>
  <c r="D9" i="3"/>
  <c r="E15" i="3"/>
  <c r="D15" i="3"/>
  <c r="I15" i="3"/>
  <c r="H15" i="3"/>
  <c r="G15" i="3"/>
  <c r="F15" i="3"/>
  <c r="E39" i="3"/>
  <c r="D39" i="3"/>
  <c r="I39" i="3"/>
  <c r="H39" i="3"/>
  <c r="G39" i="3"/>
  <c r="F39" i="3"/>
  <c r="E7" i="3"/>
  <c r="D7" i="3"/>
  <c r="I7" i="3"/>
  <c r="H7" i="3"/>
  <c r="G7" i="3"/>
  <c r="F7" i="3"/>
  <c r="E23" i="3"/>
  <c r="D23" i="3"/>
  <c r="I23" i="3"/>
  <c r="H23" i="3"/>
  <c r="G23" i="3"/>
  <c r="F23" i="3"/>
  <c r="I3" i="3"/>
  <c r="E31" i="3"/>
  <c r="D31" i="3"/>
  <c r="I31" i="3"/>
  <c r="H31" i="3"/>
  <c r="G31" i="3"/>
  <c r="F31" i="3"/>
  <c r="I33" i="3"/>
  <c r="H33" i="3"/>
  <c r="G33" i="3"/>
  <c r="F33" i="3"/>
  <c r="E33" i="3"/>
  <c r="D33" i="3"/>
  <c r="E47" i="3"/>
  <c r="D47" i="3"/>
  <c r="I47" i="3"/>
  <c r="H47" i="3"/>
  <c r="G47" i="3"/>
  <c r="F47" i="3"/>
  <c r="I29" i="3"/>
  <c r="H29" i="3"/>
  <c r="G29" i="3"/>
  <c r="F29" i="3"/>
  <c r="E29" i="3"/>
  <c r="D29" i="3"/>
  <c r="E27" i="3"/>
  <c r="D27" i="3"/>
  <c r="I27" i="3"/>
  <c r="H27" i="3"/>
  <c r="G27" i="3"/>
  <c r="F27" i="3"/>
  <c r="E19" i="3"/>
  <c r="D19" i="3"/>
  <c r="I19" i="3"/>
  <c r="H19" i="3"/>
  <c r="G19" i="3"/>
  <c r="F19" i="3"/>
  <c r="I37" i="3"/>
  <c r="H37" i="3"/>
  <c r="G37" i="3"/>
  <c r="F37" i="3"/>
  <c r="E37" i="3"/>
  <c r="D37" i="3"/>
  <c r="I49" i="3"/>
  <c r="H49" i="3"/>
  <c r="G49" i="3"/>
  <c r="F49" i="3"/>
  <c r="E49" i="3"/>
  <c r="D49" i="3"/>
  <c r="I41" i="3"/>
  <c r="H41" i="3"/>
  <c r="G41" i="3"/>
  <c r="F41" i="3"/>
  <c r="E41" i="3"/>
  <c r="D41" i="3"/>
  <c r="E43" i="3"/>
  <c r="D43" i="3"/>
  <c r="I43" i="3"/>
  <c r="H43" i="3"/>
  <c r="G43" i="3"/>
  <c r="F43" i="3"/>
  <c r="I45" i="3"/>
  <c r="H45" i="3"/>
  <c r="G45" i="3"/>
  <c r="F45" i="3"/>
  <c r="E45" i="3"/>
  <c r="D45" i="3"/>
  <c r="I25" i="3"/>
  <c r="H25" i="3"/>
  <c r="G25" i="3"/>
  <c r="F25" i="3"/>
  <c r="E25" i="3"/>
  <c r="D25" i="3"/>
  <c r="I17" i="3"/>
  <c r="H17" i="3"/>
  <c r="G17" i="3"/>
  <c r="F17" i="3"/>
  <c r="E17" i="3"/>
  <c r="D17" i="3"/>
  <c r="I5" i="3"/>
  <c r="H5" i="3"/>
  <c r="G5" i="3"/>
  <c r="F5" i="3"/>
  <c r="E5" i="3"/>
  <c r="D5" i="3"/>
</calcChain>
</file>

<file path=xl/sharedStrings.xml><?xml version="1.0" encoding="utf-8"?>
<sst xmlns="http://schemas.openxmlformats.org/spreadsheetml/2006/main" count="349" uniqueCount="110">
  <si>
    <t>ITEM</t>
  </si>
  <si>
    <t>Nombre de tarea</t>
  </si>
  <si>
    <t>Duración (hábil L-V)</t>
  </si>
  <si>
    <t>Días Corridos</t>
  </si>
  <si>
    <t>Comienzo</t>
  </si>
  <si>
    <t>Fin</t>
  </si>
  <si>
    <t>N° días hábiles (calc.)</t>
  </si>
  <si>
    <t>C / OC / DEMOLICIONES GENERALES</t>
  </si>
  <si>
    <t>26 días</t>
  </si>
  <si>
    <t>37 días</t>
  </si>
  <si>
    <t xml:space="preserve">   C / F1 / OC / DEMOLICIONES</t>
  </si>
  <si>
    <t>10 días</t>
  </si>
  <si>
    <t>15 días</t>
  </si>
  <si>
    <t xml:space="preserve">      [M2] C / F1 / OC / DEM / Demolición Sector Estanque</t>
  </si>
  <si>
    <t xml:space="preserve">   C / F2 / OC / DEMOLICIONES</t>
  </si>
  <si>
    <t>22 días</t>
  </si>
  <si>
    <t>31 días</t>
  </si>
  <si>
    <t xml:space="preserve">      C / F2 / OC / DEMOLICIONES SUBTERRÁNEO CICLO 01</t>
  </si>
  <si>
    <t xml:space="preserve">         [M2] C / F2 / OC / DEMSUB / Demoliciones Cámaras PEAS &amp; Desgrasadora PEAS 3-4</t>
  </si>
  <si>
    <t>7 días</t>
  </si>
  <si>
    <t>9 días</t>
  </si>
  <si>
    <t xml:space="preserve">         [M2] C / F2 / OC / DEMSUB / Demoliciones Cámaras A.LL</t>
  </si>
  <si>
    <t>5 días</t>
  </si>
  <si>
    <t xml:space="preserve">         [M2] C / F2 / OC / DEMSUB / Demoliciones Losa de Fundación F1</t>
  </si>
  <si>
    <t xml:space="preserve">      C / F2 / OC / DEMOLICIONES SUBTERRÁNEO CICLO 02</t>
  </si>
  <si>
    <t xml:space="preserve">         [M2]  C / F2 / OC / DEMSUB / Demoliciones Cámaras PEAS &amp; Desgrasadora PEAS 1-2</t>
  </si>
  <si>
    <t xml:space="preserve">         [M2]  C / F2 / OC / DEMSUB / Demoliciones Cámaras A.LL</t>
  </si>
  <si>
    <t xml:space="preserve">         [M2] C / F2 / OC / DEMSUB / Demoliciones Losa de Fundación F4</t>
  </si>
  <si>
    <t>11 días</t>
  </si>
  <si>
    <t xml:space="preserve">         [M2] C / F2 / OC / DEMSUB / Demolición Muros y Losa</t>
  </si>
  <si>
    <t>8 días</t>
  </si>
  <si>
    <t xml:space="preserve">         [M2] C / F2 / OC / DEMSUB / Demolición Rampa</t>
  </si>
  <si>
    <t xml:space="preserve">   C / F3 / OC / DEMOLICIONES</t>
  </si>
  <si>
    <t>17 días</t>
  </si>
  <si>
    <t>24 días</t>
  </si>
  <si>
    <t xml:space="preserve">      C / F3 / OC / DEMOLICIONES SUPERFICIE</t>
  </si>
  <si>
    <t xml:space="preserve">         [M3] C / F3 / OC / DEMSUP / Demolición Vigas de Borde Losa Existente</t>
  </si>
  <si>
    <t xml:space="preserve">         [M2] C / F3 / OC / DEMSUP / Demolición veredas</t>
  </si>
  <si>
    <t>3 días</t>
  </si>
  <si>
    <t xml:space="preserve">         [M2] C / F3 / OC / DEMSUP / Demolición jardinería</t>
  </si>
  <si>
    <t xml:space="preserve">         [M2] C / F3 / OC / DEMSUP / Demolición de Losas Existentes para Escaleras</t>
  </si>
  <si>
    <t xml:space="preserve">      C / F3 / OC / DEMOLICIONES CUBIERTA</t>
  </si>
  <si>
    <t xml:space="preserve">         [UN] C / / F3 / OC / DEMCUB / Retiro elementos varios</t>
  </si>
  <si>
    <t xml:space="preserve">         [M2] C / / F3 / OC / DEMCUB / Demolición alero Falabella lado Norte</t>
  </si>
  <si>
    <t>14 días</t>
  </si>
  <si>
    <t xml:space="preserve">         [M2] C / / F3 / OC / DEMCUB / Demolición alero Falabella lado Sur</t>
  </si>
  <si>
    <t>S02</t>
  </si>
  <si>
    <t>S03</t>
  </si>
  <si>
    <t>S04</t>
  </si>
  <si>
    <t>S05</t>
  </si>
  <si>
    <t>S06</t>
  </si>
  <si>
    <t>S07</t>
  </si>
  <si>
    <t>Avance parcial %</t>
  </si>
  <si>
    <t>Avance acumulado %</t>
  </si>
  <si>
    <t>C / F1 / OC / DEMOLICIONES</t>
  </si>
  <si>
    <t>[M2] C / F1 / OC / DEM / Demolición Sector Estanque</t>
  </si>
  <si>
    <t>C / F2 / OC / DEMOLICIONES</t>
  </si>
  <si>
    <t>C / F2 / OC / DEMOLICIONES SUBTERRÁNEO CICLO 01</t>
  </si>
  <si>
    <t>[M2] C / F2 / OC / DEMSUB / Demoliciones Cámaras PEAS &amp; Desgrasadora PEAS 3-4</t>
  </si>
  <si>
    <t>[M2] C / F2 / OC / DEMSUB / Demoliciones Cámaras A.LL</t>
  </si>
  <si>
    <t>[M2] C / F2 / OC / DEMSUB / Demoliciones Losa de Fundación F1</t>
  </si>
  <si>
    <t>C / F2 / OC / DEMOLICIONES SUBTERRÁNEO CICLO 02</t>
  </si>
  <si>
    <t>[M2]  C / F2 / OC / DEMSUB / Demoliciones Cámaras PEAS &amp; Desgrasadora PEAS 1-2</t>
  </si>
  <si>
    <t>[M2]  C / F2 / OC / DEMSUB / Demoliciones Cámaras A.LL</t>
  </si>
  <si>
    <t>[M2] C / F2 / OC / DEMSUB / Demoliciones Losa de Fundación F4</t>
  </si>
  <si>
    <t>[M2] C / F2 / OC / DEMSUB / Demolición Muros y Losa</t>
  </si>
  <si>
    <t>[M2] C / F2 / OC / DEMSUB / Demolición Rampa</t>
  </si>
  <si>
    <t>C / F3 / OC / DEMOLICIONES</t>
  </si>
  <si>
    <t>C / F3 / OC / DEMOLICIONES SUPERFICIE</t>
  </si>
  <si>
    <t>[M3] C / F3 / OC / DEMSUP / Demolición Vigas de Borde Losa Existente</t>
  </si>
  <si>
    <t>[M2] C / F3 / OC / DEMSUP / Demolición veredas</t>
  </si>
  <si>
    <t>[M2] C / F3 / OC / DEMSUP / Demolición jardinería</t>
  </si>
  <si>
    <t>[M2] C / F3 / OC / DEMSUP / Demolición de Losas Existentes para Escaleras</t>
  </si>
  <si>
    <t>C / F3 / OC / DEMOLICIONES CUBIERTA</t>
  </si>
  <si>
    <t>[UN] C / / F3 / OC / DEMCUB / Retiro elementos varios</t>
  </si>
  <si>
    <t>[M2] C / / F3 / OC / DEMCUB / Demolición alero Falabella lado Norte</t>
  </si>
  <si>
    <t>[M2] C / / F3 / OC / DEMCUB / Demolición alero Falabella lado Sur</t>
  </si>
  <si>
    <t>Actividad</t>
  </si>
  <si>
    <t>Tipo</t>
  </si>
  <si>
    <t>S02
31-ago al 06-sep</t>
  </si>
  <si>
    <t>S03
07-sep al 13-sep</t>
  </si>
  <si>
    <t>S04
14-sep al 20-sep</t>
  </si>
  <si>
    <t>S05
21-sep al 27-sep</t>
  </si>
  <si>
    <t>S06
28-sep al 04-oct</t>
  </si>
  <si>
    <t>S07
05-oct al 11-oct</t>
  </si>
  <si>
    <t>1.2.4.1.3</t>
  </si>
  <si>
    <t>1.2.4.1.3.1</t>
  </si>
  <si>
    <t>1.2.5.1.2</t>
  </si>
  <si>
    <t>1.2.5.1.2.4</t>
  </si>
  <si>
    <t>1.2.5.1.2.2</t>
  </si>
  <si>
    <t>1.2.5.1.2.3</t>
  </si>
  <si>
    <t>1.2.5.1.3</t>
  </si>
  <si>
    <t>1.2.5.1.3.6</t>
  </si>
  <si>
    <t>1.2.5.1.3.2</t>
  </si>
  <si>
    <t>1.2.5.1.3.3</t>
  </si>
  <si>
    <t>1.2.5.1.3.4</t>
  </si>
  <si>
    <t>1.2.5.1.3.5</t>
  </si>
  <si>
    <t>1.2.6.1.3</t>
  </si>
  <si>
    <t>1.2.6.1.3.1</t>
  </si>
  <si>
    <t>1.2.6.1.3.3</t>
  </si>
  <si>
    <t>1.2.6.1.3.2.1</t>
  </si>
  <si>
    <t>1.2.6.1.3.2.2</t>
  </si>
  <si>
    <t>1.2.6.1.4</t>
  </si>
  <si>
    <t>1.2.6.1.4.1</t>
  </si>
  <si>
    <t>1.2.6.1.4.2</t>
  </si>
  <si>
    <t>1.2.6.1.4.3</t>
  </si>
  <si>
    <t>JONATHAN VERGARA</t>
  </si>
  <si>
    <t>MAURICIO CONTRERAS</t>
  </si>
  <si>
    <t>JORGE REYES</t>
  </si>
  <si>
    <t>Responsable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</si>
</sst>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0.0"/>
  </numFmts>
  <fonts count="9" x14ac:knownFonts="1">
    <font>
      <sz val="11"/>
      <color theme="1"/>
      <name val="Calibri"/>
      <family val="2"/>
      <charset val="1"/>
    </font>
    <font>
      <b/>
      <sz val="9"/>
      <color rgb="FFFFFFFF"/>
      <name val="Arial"/>
      <charset val="1"/>
    </font>
    <font>
      <b/>
      <sz val="9"/>
      <name val="Arial"/>
      <charset val="1"/>
    </font>
    <font>
      <sz val="9"/>
      <name val="Arial"/>
      <charset val="1"/>
    </font>
    <font>
      <b/>
      <sz val="8"/>
      <color rgb="FFFFFFFF"/>
      <name val="Arial"/>
      <charset val="1"/>
    </font>
    <font>
      <b/>
      <sz val="8"/>
      <color rgb="FF000000"/>
      <name val="Arial"/>
      <charset val="1"/>
    </font>
    <font>
      <i/>
      <sz val="9"/>
      <color rgb="FF1F4E78"/>
      <name val="Arial"/>
      <charset val="1"/>
    </font>
    <font>
      <b/>
      <sz val="11"/>
      <color theme="1"/>
      <name val="Calibri"/>
      <family val="2"/>
      <scheme val="minor"/>
    </font>
    <font>
      <sz val="8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DEBF7"/>
        <bgColor rgb="FFF2F2F2"/>
      </patternFill>
    </fill>
    <fill>
      <patternFill patternType="solid">
        <fgColor rgb="FF2E75B6"/>
        <bgColor rgb="FF0066CC"/>
      </patternFill>
    </fill>
    <fill>
      <patternFill patternType="solid">
        <fgColor rgb="FFF2F2F2"/>
        <bgColor rgb="FFDDEBF7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164" fontId="2" fillId="3" borderId="1" xfId="0" applyNumberFormat="1" applyFont="1" applyFill="1" applyBorder="1"/>
    <xf numFmtId="0" fontId="3" fillId="0" borderId="1" xfId="0" applyFont="1" applyBorder="1"/>
    <xf numFmtId="164" fontId="3" fillId="0" borderId="1" xfId="0" applyNumberFormat="1" applyFont="1" applyBorder="1"/>
    <xf numFmtId="0" fontId="4" fillId="4" borderId="1" xfId="0" applyFont="1" applyFill="1" applyBorder="1" applyAlignment="1">
      <alignment horizontal="center" vertical="center"/>
    </xf>
    <xf numFmtId="16" fontId="4" fillId="2" borderId="1" xfId="0" applyNumberFormat="1" applyFont="1" applyFill="1" applyBorder="1" applyAlignment="1">
      <alignment horizontal="center" vertical="center"/>
    </xf>
    <xf numFmtId="16" fontId="5" fillId="5" borderId="1" xfId="0" applyNumberFormat="1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5" fontId="3" fillId="5" borderId="1" xfId="0" applyNumberFormat="1" applyFont="1" applyFill="1" applyBorder="1" applyAlignment="1">
      <alignment horizontal="center" vertical="center"/>
    </xf>
    <xf numFmtId="0" fontId="6" fillId="0" borderId="1" xfId="0" applyFont="1" applyBorder="1"/>
    <xf numFmtId="165" fontId="6" fillId="0" borderId="1" xfId="0" applyNumberFormat="1" applyFont="1" applyBorder="1" applyAlignment="1">
      <alignment horizontal="center" vertical="center"/>
    </xf>
    <xf numFmtId="165" fontId="6" fillId="5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0" borderId="1" xfId="0" applyFont="1" applyBorder="1" applyAlignment="1">
      <alignment vertical="center"/>
    </xf>
    <xf numFmtId="0" fontId="0" fillId="0" borderId="2" xfId="0" applyBorder="1"/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16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left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zoomScaleNormal="100" workbookViewId="0">
      <pane ySplit="1" topLeftCell="A2" activePane="bottomLeft" state="frozen"/>
      <selection pane="bottomLeft" activeCell="A2" sqref="A2"/>
    </sheetView>
  </sheetViews>
  <sheetFormatPr baseColWidth="10" defaultColWidth="8.6640625" defaultRowHeight="14.4" x14ac:dyDescent="0.3"/>
  <cols>
    <col min="1" max="1" width="20.33203125" bestFit="1" customWidth="1"/>
    <col min="2" max="2" width="13" customWidth="1"/>
    <col min="3" max="3" width="69.5546875" bestFit="1" customWidth="1"/>
    <col min="4" max="8" width="16" customWidth="1"/>
  </cols>
  <sheetData>
    <row r="1" spans="1:8" x14ac:dyDescent="0.3">
      <c r="A1" t="s">
        <v>109</v>
      </c>
      <c r="B1" s="17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B2" s="15"/>
      <c r="C2" s="2" t="s">
        <v>7</v>
      </c>
      <c r="D2" s="2" t="s">
        <v>8</v>
      </c>
      <c r="E2" s="2" t="s">
        <v>9</v>
      </c>
      <c r="F2" s="3">
        <v>46266</v>
      </c>
      <c r="G2" s="3">
        <v>46302</v>
      </c>
      <c r="H2" s="2">
        <v>27</v>
      </c>
    </row>
    <row r="3" spans="1:8" x14ac:dyDescent="0.3">
      <c r="B3" s="15" t="s">
        <v>85</v>
      </c>
      <c r="C3" s="2" t="s">
        <v>10</v>
      </c>
      <c r="D3" s="2" t="s">
        <v>11</v>
      </c>
      <c r="E3" s="2" t="s">
        <v>12</v>
      </c>
      <c r="F3" s="3">
        <v>46276</v>
      </c>
      <c r="G3" s="3">
        <v>46290</v>
      </c>
      <c r="H3" s="2">
        <v>11</v>
      </c>
    </row>
    <row r="4" spans="1:8" x14ac:dyDescent="0.3">
      <c r="A4" t="s">
        <v>106</v>
      </c>
      <c r="B4" s="16" t="s">
        <v>86</v>
      </c>
      <c r="C4" s="4" t="s">
        <v>13</v>
      </c>
      <c r="D4" s="4" t="s">
        <v>11</v>
      </c>
      <c r="E4" s="4" t="s">
        <v>12</v>
      </c>
      <c r="F4" s="5">
        <v>46276</v>
      </c>
      <c r="G4" s="5">
        <v>46290</v>
      </c>
      <c r="H4" s="4">
        <v>11</v>
      </c>
    </row>
    <row r="5" spans="1:8" x14ac:dyDescent="0.3">
      <c r="B5" s="18"/>
      <c r="C5" s="2" t="s">
        <v>14</v>
      </c>
      <c r="D5" s="2" t="s">
        <v>15</v>
      </c>
      <c r="E5" s="2" t="s">
        <v>16</v>
      </c>
      <c r="F5" s="3">
        <v>46266</v>
      </c>
      <c r="G5" s="3">
        <v>46296</v>
      </c>
      <c r="H5" s="2">
        <v>23</v>
      </c>
    </row>
    <row r="6" spans="1:8" x14ac:dyDescent="0.3">
      <c r="B6" s="15" t="s">
        <v>87</v>
      </c>
      <c r="C6" s="2" t="s">
        <v>17</v>
      </c>
      <c r="D6" s="2" t="s">
        <v>12</v>
      </c>
      <c r="E6" s="2" t="s">
        <v>15</v>
      </c>
      <c r="F6" s="3">
        <v>46272</v>
      </c>
      <c r="G6" s="3">
        <v>46293</v>
      </c>
      <c r="H6" s="2">
        <v>16</v>
      </c>
    </row>
    <row r="7" spans="1:8" x14ac:dyDescent="0.3">
      <c r="A7" t="s">
        <v>107</v>
      </c>
      <c r="B7" s="19" t="s">
        <v>88</v>
      </c>
      <c r="C7" s="4" t="s">
        <v>18</v>
      </c>
      <c r="D7" s="4" t="s">
        <v>19</v>
      </c>
      <c r="E7" s="4" t="s">
        <v>20</v>
      </c>
      <c r="F7" s="5">
        <v>46272</v>
      </c>
      <c r="G7" s="5">
        <v>46280</v>
      </c>
      <c r="H7" s="4">
        <v>7</v>
      </c>
    </row>
    <row r="8" spans="1:8" x14ac:dyDescent="0.3">
      <c r="A8" t="s">
        <v>107</v>
      </c>
      <c r="B8" s="19" t="s">
        <v>89</v>
      </c>
      <c r="C8" s="4" t="s">
        <v>21</v>
      </c>
      <c r="D8" s="4" t="s">
        <v>22</v>
      </c>
      <c r="E8" s="4" t="s">
        <v>19</v>
      </c>
      <c r="F8" s="5">
        <v>46276</v>
      </c>
      <c r="G8" s="5">
        <v>46282</v>
      </c>
      <c r="H8" s="4">
        <v>5</v>
      </c>
    </row>
    <row r="9" spans="1:8" x14ac:dyDescent="0.3">
      <c r="A9" t="s">
        <v>108</v>
      </c>
      <c r="B9" s="19" t="s">
        <v>90</v>
      </c>
      <c r="C9" s="4" t="s">
        <v>23</v>
      </c>
      <c r="D9" s="4" t="s">
        <v>11</v>
      </c>
      <c r="E9" s="4" t="s">
        <v>12</v>
      </c>
      <c r="F9" s="5">
        <v>46279</v>
      </c>
      <c r="G9" s="5">
        <v>46293</v>
      </c>
      <c r="H9" s="4">
        <v>11</v>
      </c>
    </row>
    <row r="10" spans="1:8" x14ac:dyDescent="0.3">
      <c r="B10" s="15" t="s">
        <v>91</v>
      </c>
      <c r="C10" s="2" t="s">
        <v>24</v>
      </c>
      <c r="D10" s="2" t="s">
        <v>15</v>
      </c>
      <c r="E10" s="2" t="s">
        <v>16</v>
      </c>
      <c r="F10" s="3">
        <v>46266</v>
      </c>
      <c r="G10" s="3">
        <v>46296</v>
      </c>
      <c r="H10" s="2">
        <v>23</v>
      </c>
    </row>
    <row r="11" spans="1:8" x14ac:dyDescent="0.3">
      <c r="A11" t="s">
        <v>107</v>
      </c>
      <c r="B11" s="19" t="s">
        <v>92</v>
      </c>
      <c r="C11" s="4" t="s">
        <v>25</v>
      </c>
      <c r="D11" s="4" t="s">
        <v>19</v>
      </c>
      <c r="E11" s="4" t="s">
        <v>20</v>
      </c>
      <c r="F11" s="5">
        <v>46286</v>
      </c>
      <c r="G11" s="5">
        <v>46294</v>
      </c>
      <c r="H11" s="4">
        <v>7</v>
      </c>
    </row>
    <row r="12" spans="1:8" x14ac:dyDescent="0.3">
      <c r="A12" t="s">
        <v>107</v>
      </c>
      <c r="B12" s="19" t="s">
        <v>93</v>
      </c>
      <c r="C12" s="4" t="s">
        <v>26</v>
      </c>
      <c r="D12" s="4" t="s">
        <v>22</v>
      </c>
      <c r="E12" s="4" t="s">
        <v>22</v>
      </c>
      <c r="F12" s="5">
        <v>46286</v>
      </c>
      <c r="G12" s="5">
        <v>46290</v>
      </c>
      <c r="H12" s="4">
        <v>5</v>
      </c>
    </row>
    <row r="13" spans="1:8" x14ac:dyDescent="0.3">
      <c r="A13" t="s">
        <v>108</v>
      </c>
      <c r="B13" s="19" t="s">
        <v>94</v>
      </c>
      <c r="C13" s="4" t="s">
        <v>27</v>
      </c>
      <c r="D13" s="4" t="s">
        <v>20</v>
      </c>
      <c r="E13" s="4" t="s">
        <v>28</v>
      </c>
      <c r="F13" s="5">
        <v>46266</v>
      </c>
      <c r="G13" s="5">
        <v>46276</v>
      </c>
      <c r="H13" s="4">
        <v>9</v>
      </c>
    </row>
    <row r="14" spans="1:8" x14ac:dyDescent="0.3">
      <c r="A14" t="s">
        <v>108</v>
      </c>
      <c r="B14" s="19" t="s">
        <v>95</v>
      </c>
      <c r="C14" s="4" t="s">
        <v>29</v>
      </c>
      <c r="D14" s="4" t="s">
        <v>30</v>
      </c>
      <c r="E14" s="4" t="s">
        <v>28</v>
      </c>
      <c r="F14" s="5">
        <v>46279</v>
      </c>
      <c r="G14" s="5">
        <v>46289</v>
      </c>
      <c r="H14" s="4">
        <v>9</v>
      </c>
    </row>
    <row r="15" spans="1:8" x14ac:dyDescent="0.3">
      <c r="A15" t="s">
        <v>108</v>
      </c>
      <c r="B15" s="19" t="s">
        <v>96</v>
      </c>
      <c r="C15" s="4" t="s">
        <v>31</v>
      </c>
      <c r="D15" s="4" t="s">
        <v>22</v>
      </c>
      <c r="E15" s="4" t="s">
        <v>19</v>
      </c>
      <c r="F15" s="5">
        <v>46290</v>
      </c>
      <c r="G15" s="5">
        <v>46296</v>
      </c>
      <c r="H15" s="4">
        <v>5</v>
      </c>
    </row>
    <row r="16" spans="1:8" x14ac:dyDescent="0.3">
      <c r="B16" s="18"/>
      <c r="C16" s="2" t="s">
        <v>32</v>
      </c>
      <c r="D16" s="2" t="s">
        <v>33</v>
      </c>
      <c r="E16" s="2" t="s">
        <v>34</v>
      </c>
      <c r="F16" s="3">
        <v>46279</v>
      </c>
      <c r="G16" s="3">
        <v>46302</v>
      </c>
      <c r="H16" s="2">
        <v>18</v>
      </c>
    </row>
    <row r="17" spans="1:8" x14ac:dyDescent="0.3">
      <c r="B17" s="18" t="s">
        <v>97</v>
      </c>
      <c r="C17" s="2" t="s">
        <v>35</v>
      </c>
      <c r="D17" s="2" t="s">
        <v>33</v>
      </c>
      <c r="E17" s="2" t="s">
        <v>34</v>
      </c>
      <c r="F17" s="3">
        <v>46279</v>
      </c>
      <c r="G17" s="3">
        <v>46302</v>
      </c>
      <c r="H17" s="2">
        <v>18</v>
      </c>
    </row>
    <row r="18" spans="1:8" x14ac:dyDescent="0.3">
      <c r="A18" t="s">
        <v>108</v>
      </c>
      <c r="B18" s="19" t="s">
        <v>98</v>
      </c>
      <c r="C18" s="4" t="s">
        <v>36</v>
      </c>
      <c r="D18" s="4" t="s">
        <v>19</v>
      </c>
      <c r="E18" s="4" t="s">
        <v>11</v>
      </c>
      <c r="F18" s="5">
        <v>46279</v>
      </c>
      <c r="G18" s="5">
        <v>46288</v>
      </c>
      <c r="H18" s="4">
        <v>8</v>
      </c>
    </row>
    <row r="19" spans="1:8" x14ac:dyDescent="0.3">
      <c r="A19" t="s">
        <v>108</v>
      </c>
      <c r="B19" s="19" t="s">
        <v>100</v>
      </c>
      <c r="C19" s="4" t="s">
        <v>37</v>
      </c>
      <c r="D19" s="4" t="s">
        <v>38</v>
      </c>
      <c r="E19" s="4" t="s">
        <v>22</v>
      </c>
      <c r="F19" s="5">
        <v>46289</v>
      </c>
      <c r="G19" s="5">
        <v>46293</v>
      </c>
      <c r="H19" s="4">
        <v>3</v>
      </c>
    </row>
    <row r="20" spans="1:8" x14ac:dyDescent="0.3">
      <c r="A20" t="s">
        <v>108</v>
      </c>
      <c r="B20" s="19" t="s">
        <v>101</v>
      </c>
      <c r="C20" s="4" t="s">
        <v>39</v>
      </c>
      <c r="D20" s="4" t="s">
        <v>38</v>
      </c>
      <c r="E20" s="4" t="s">
        <v>22</v>
      </c>
      <c r="F20" s="5">
        <v>46289</v>
      </c>
      <c r="G20" s="5">
        <v>46293</v>
      </c>
      <c r="H20" s="4">
        <v>3</v>
      </c>
    </row>
    <row r="21" spans="1:8" x14ac:dyDescent="0.3">
      <c r="A21" t="s">
        <v>108</v>
      </c>
      <c r="B21" s="19" t="s">
        <v>99</v>
      </c>
      <c r="C21" s="4" t="s">
        <v>40</v>
      </c>
      <c r="D21" s="4" t="s">
        <v>19</v>
      </c>
      <c r="E21" s="4" t="s">
        <v>20</v>
      </c>
      <c r="F21" s="5">
        <v>46294</v>
      </c>
      <c r="G21" s="5">
        <v>46302</v>
      </c>
      <c r="H21" s="4">
        <v>7</v>
      </c>
    </row>
    <row r="22" spans="1:8" x14ac:dyDescent="0.3">
      <c r="B22" s="18" t="s">
        <v>102</v>
      </c>
      <c r="C22" s="2" t="s">
        <v>41</v>
      </c>
      <c r="D22" s="2" t="s">
        <v>12</v>
      </c>
      <c r="E22" s="2" t="s">
        <v>15</v>
      </c>
      <c r="F22" s="3">
        <v>46279</v>
      </c>
      <c r="G22" s="3">
        <v>46300</v>
      </c>
      <c r="H22" s="2">
        <v>16</v>
      </c>
    </row>
    <row r="23" spans="1:8" x14ac:dyDescent="0.3">
      <c r="A23" t="s">
        <v>108</v>
      </c>
      <c r="B23" s="19" t="s">
        <v>103</v>
      </c>
      <c r="C23" s="4" t="s">
        <v>42</v>
      </c>
      <c r="D23" s="4" t="s">
        <v>22</v>
      </c>
      <c r="E23" s="4" t="s">
        <v>30</v>
      </c>
      <c r="F23" s="5">
        <v>46279</v>
      </c>
      <c r="G23" s="5">
        <v>46286</v>
      </c>
      <c r="H23" s="4">
        <v>6</v>
      </c>
    </row>
    <row r="24" spans="1:8" x14ac:dyDescent="0.3">
      <c r="A24" t="s">
        <v>108</v>
      </c>
      <c r="B24" s="19" t="s">
        <v>104</v>
      </c>
      <c r="C24" s="4" t="s">
        <v>43</v>
      </c>
      <c r="D24" s="4" t="s">
        <v>11</v>
      </c>
      <c r="E24" s="4" t="s">
        <v>44</v>
      </c>
      <c r="F24" s="5">
        <v>46287</v>
      </c>
      <c r="G24" s="5">
        <v>46300</v>
      </c>
      <c r="H24" s="4">
        <v>10</v>
      </c>
    </row>
    <row r="25" spans="1:8" x14ac:dyDescent="0.3">
      <c r="A25" t="s">
        <v>108</v>
      </c>
      <c r="B25" s="19" t="s">
        <v>105</v>
      </c>
      <c r="C25" s="4" t="s">
        <v>45</v>
      </c>
      <c r="D25" s="4" t="s">
        <v>11</v>
      </c>
      <c r="E25" s="4" t="s">
        <v>44</v>
      </c>
      <c r="F25" s="5">
        <v>46287</v>
      </c>
      <c r="G25" s="5">
        <v>46300</v>
      </c>
      <c r="H25" s="4">
        <v>10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Q50"/>
  <sheetViews>
    <sheetView zoomScaleNormal="100" workbookViewId="0">
      <pane xSplit="6" ySplit="2" topLeftCell="G32" activePane="bottomRight" state="frozen"/>
      <selection pane="topRight" activeCell="G1" sqref="G1"/>
      <selection pane="bottomLeft" activeCell="A3" sqref="A3"/>
      <selection pane="bottomRight" activeCell="A3" sqref="A3:A50"/>
    </sheetView>
  </sheetViews>
  <sheetFormatPr baseColWidth="10" defaultColWidth="8.6640625" defaultRowHeight="14.4" x14ac:dyDescent="0.3"/>
  <cols>
    <col min="1" max="1" width="13" customWidth="1"/>
    <col min="2" max="2" width="60" customWidth="1"/>
    <col min="3" max="4" width="12" customWidth="1"/>
    <col min="5" max="5" width="10" customWidth="1"/>
    <col min="6" max="6" width="14" customWidth="1"/>
    <col min="7" max="43" width="7" customWidth="1"/>
  </cols>
  <sheetData>
    <row r="1" spans="1:43" x14ac:dyDescent="0.3">
      <c r="A1" s="20"/>
      <c r="B1" s="20"/>
      <c r="C1" s="20"/>
      <c r="D1" s="20"/>
      <c r="E1" s="20"/>
      <c r="F1" s="20"/>
      <c r="G1" s="6" t="s">
        <v>46</v>
      </c>
      <c r="H1" s="6" t="s">
        <v>46</v>
      </c>
      <c r="I1" s="6" t="s">
        <v>46</v>
      </c>
      <c r="J1" s="6" t="s">
        <v>46</v>
      </c>
      <c r="K1" s="6" t="s">
        <v>46</v>
      </c>
      <c r="L1" s="6" t="s">
        <v>46</v>
      </c>
      <c r="M1" s="6" t="s">
        <v>47</v>
      </c>
      <c r="N1" s="6" t="s">
        <v>47</v>
      </c>
      <c r="O1" s="6" t="s">
        <v>47</v>
      </c>
      <c r="P1" s="6" t="s">
        <v>47</v>
      </c>
      <c r="Q1" s="6" t="s">
        <v>47</v>
      </c>
      <c r="R1" s="6" t="s">
        <v>47</v>
      </c>
      <c r="S1" s="6" t="s">
        <v>47</v>
      </c>
      <c r="T1" s="6" t="s">
        <v>48</v>
      </c>
      <c r="U1" s="6" t="s">
        <v>48</v>
      </c>
      <c r="V1" s="6" t="s">
        <v>48</v>
      </c>
      <c r="W1" s="6" t="s">
        <v>48</v>
      </c>
      <c r="X1" s="6" t="s">
        <v>48</v>
      </c>
      <c r="Y1" s="6" t="s">
        <v>48</v>
      </c>
      <c r="Z1" s="6" t="s">
        <v>48</v>
      </c>
      <c r="AA1" s="6" t="s">
        <v>49</v>
      </c>
      <c r="AB1" s="6" t="s">
        <v>49</v>
      </c>
      <c r="AC1" s="6" t="s">
        <v>49</v>
      </c>
      <c r="AD1" s="6" t="s">
        <v>49</v>
      </c>
      <c r="AE1" s="6" t="s">
        <v>49</v>
      </c>
      <c r="AF1" s="6" t="s">
        <v>49</v>
      </c>
      <c r="AG1" s="6" t="s">
        <v>49</v>
      </c>
      <c r="AH1" s="6" t="s">
        <v>50</v>
      </c>
      <c r="AI1" s="6" t="s">
        <v>50</v>
      </c>
      <c r="AJ1" s="6" t="s">
        <v>50</v>
      </c>
      <c r="AK1" s="6" t="s">
        <v>50</v>
      </c>
      <c r="AL1" s="6" t="s">
        <v>50</v>
      </c>
      <c r="AM1" s="6" t="s">
        <v>50</v>
      </c>
      <c r="AN1" s="6" t="s">
        <v>50</v>
      </c>
      <c r="AO1" s="6" t="s">
        <v>51</v>
      </c>
      <c r="AP1" s="6" t="s">
        <v>51</v>
      </c>
      <c r="AQ1" s="6" t="s">
        <v>51</v>
      </c>
    </row>
    <row r="2" spans="1:43" x14ac:dyDescent="0.3">
      <c r="A2" s="20"/>
      <c r="B2" s="20"/>
      <c r="C2" s="20"/>
      <c r="D2" s="20"/>
      <c r="E2" s="20"/>
      <c r="F2" s="20"/>
      <c r="G2" s="7">
        <v>46266</v>
      </c>
      <c r="H2" s="7">
        <v>46267</v>
      </c>
      <c r="I2" s="7">
        <v>46268</v>
      </c>
      <c r="J2" s="7">
        <v>46269</v>
      </c>
      <c r="K2" s="8">
        <v>46270</v>
      </c>
      <c r="L2" s="8">
        <v>46271</v>
      </c>
      <c r="M2" s="7">
        <v>46272</v>
      </c>
      <c r="N2" s="7">
        <v>46273</v>
      </c>
      <c r="O2" s="7">
        <v>46274</v>
      </c>
      <c r="P2" s="7">
        <v>46275</v>
      </c>
      <c r="Q2" s="7">
        <v>46276</v>
      </c>
      <c r="R2" s="8">
        <v>46277</v>
      </c>
      <c r="S2" s="8">
        <v>46278</v>
      </c>
      <c r="T2" s="7">
        <v>46279</v>
      </c>
      <c r="U2" s="7">
        <v>46280</v>
      </c>
      <c r="V2" s="7">
        <v>46281</v>
      </c>
      <c r="W2" s="7">
        <v>46282</v>
      </c>
      <c r="X2" s="7">
        <v>46283</v>
      </c>
      <c r="Y2" s="8">
        <v>46284</v>
      </c>
      <c r="Z2" s="8">
        <v>46285</v>
      </c>
      <c r="AA2" s="7">
        <v>46286</v>
      </c>
      <c r="AB2" s="7">
        <v>46287</v>
      </c>
      <c r="AC2" s="7">
        <v>46288</v>
      </c>
      <c r="AD2" s="7">
        <v>46289</v>
      </c>
      <c r="AE2" s="7">
        <v>46290</v>
      </c>
      <c r="AF2" s="8">
        <v>46291</v>
      </c>
      <c r="AG2" s="8">
        <v>46292</v>
      </c>
      <c r="AH2" s="7">
        <v>46293</v>
      </c>
      <c r="AI2" s="7">
        <v>46294</v>
      </c>
      <c r="AJ2" s="7">
        <v>46295</v>
      </c>
      <c r="AK2" s="7">
        <v>46296</v>
      </c>
      <c r="AL2" s="7">
        <v>46297</v>
      </c>
      <c r="AM2" s="8">
        <v>46298</v>
      </c>
      <c r="AN2" s="8">
        <v>46299</v>
      </c>
      <c r="AO2" s="7">
        <v>46300</v>
      </c>
      <c r="AP2" s="7">
        <v>46301</v>
      </c>
      <c r="AQ2" s="7">
        <v>46302</v>
      </c>
    </row>
    <row r="3" spans="1:43" x14ac:dyDescent="0.3">
      <c r="A3" s="21"/>
      <c r="B3" s="22" t="s">
        <v>7</v>
      </c>
      <c r="C3" s="23">
        <v>46266</v>
      </c>
      <c r="D3" s="23">
        <v>46302</v>
      </c>
      <c r="E3" s="24">
        <v>27</v>
      </c>
      <c r="F3" s="4" t="s">
        <v>52</v>
      </c>
      <c r="G3" s="9">
        <f t="shared" ref="G3:AQ3" si="0">IF(AND(G$2&gt;=$C3,G$2&lt;=$D3,WEEKDAY(G$2,2)&lt;=5),100/$E3,0)</f>
        <v>3.7037037037037037</v>
      </c>
      <c r="H3" s="9">
        <f t="shared" si="0"/>
        <v>3.7037037037037037</v>
      </c>
      <c r="I3" s="9">
        <f t="shared" si="0"/>
        <v>3.7037037037037037</v>
      </c>
      <c r="J3" s="9">
        <f t="shared" si="0"/>
        <v>3.7037037037037037</v>
      </c>
      <c r="K3" s="10">
        <f t="shared" si="0"/>
        <v>0</v>
      </c>
      <c r="L3" s="10">
        <f t="shared" si="0"/>
        <v>0</v>
      </c>
      <c r="M3" s="9">
        <f t="shared" si="0"/>
        <v>3.7037037037037037</v>
      </c>
      <c r="N3" s="9">
        <f t="shared" si="0"/>
        <v>3.7037037037037037</v>
      </c>
      <c r="O3" s="9">
        <f t="shared" si="0"/>
        <v>3.7037037037037037</v>
      </c>
      <c r="P3" s="9">
        <f t="shared" si="0"/>
        <v>3.7037037037037037</v>
      </c>
      <c r="Q3" s="9">
        <f t="shared" si="0"/>
        <v>3.7037037037037037</v>
      </c>
      <c r="R3" s="10">
        <f t="shared" si="0"/>
        <v>0</v>
      </c>
      <c r="S3" s="10">
        <f t="shared" si="0"/>
        <v>0</v>
      </c>
      <c r="T3" s="9">
        <f t="shared" si="0"/>
        <v>3.7037037037037037</v>
      </c>
      <c r="U3" s="9">
        <f t="shared" si="0"/>
        <v>3.7037037037037037</v>
      </c>
      <c r="V3" s="9">
        <f t="shared" si="0"/>
        <v>3.7037037037037037</v>
      </c>
      <c r="W3" s="9">
        <f t="shared" si="0"/>
        <v>3.7037037037037037</v>
      </c>
      <c r="X3" s="9">
        <f t="shared" si="0"/>
        <v>3.7037037037037037</v>
      </c>
      <c r="Y3" s="10">
        <f t="shared" si="0"/>
        <v>0</v>
      </c>
      <c r="Z3" s="10">
        <f t="shared" si="0"/>
        <v>0</v>
      </c>
      <c r="AA3" s="9">
        <f t="shared" si="0"/>
        <v>3.7037037037037037</v>
      </c>
      <c r="AB3" s="9">
        <f t="shared" si="0"/>
        <v>3.7037037037037037</v>
      </c>
      <c r="AC3" s="9">
        <f t="shared" si="0"/>
        <v>3.7037037037037037</v>
      </c>
      <c r="AD3" s="9">
        <f t="shared" si="0"/>
        <v>3.7037037037037037</v>
      </c>
      <c r="AE3" s="9">
        <f t="shared" si="0"/>
        <v>3.7037037037037037</v>
      </c>
      <c r="AF3" s="10">
        <f t="shared" si="0"/>
        <v>0</v>
      </c>
      <c r="AG3" s="10">
        <f t="shared" si="0"/>
        <v>0</v>
      </c>
      <c r="AH3" s="9">
        <f t="shared" si="0"/>
        <v>3.7037037037037037</v>
      </c>
      <c r="AI3" s="9">
        <f t="shared" si="0"/>
        <v>3.7037037037037037</v>
      </c>
      <c r="AJ3" s="9">
        <f t="shared" si="0"/>
        <v>3.7037037037037037</v>
      </c>
      <c r="AK3" s="9">
        <f t="shared" si="0"/>
        <v>3.7037037037037037</v>
      </c>
      <c r="AL3" s="9">
        <f t="shared" si="0"/>
        <v>3.7037037037037037</v>
      </c>
      <c r="AM3" s="10">
        <f t="shared" si="0"/>
        <v>0</v>
      </c>
      <c r="AN3" s="10">
        <f t="shared" si="0"/>
        <v>0</v>
      </c>
      <c r="AO3" s="9">
        <f t="shared" si="0"/>
        <v>3.7037037037037037</v>
      </c>
      <c r="AP3" s="9">
        <f t="shared" si="0"/>
        <v>3.7037037037037037</v>
      </c>
      <c r="AQ3" s="9">
        <f t="shared" si="0"/>
        <v>3.7037037037037037</v>
      </c>
    </row>
    <row r="4" spans="1:43" x14ac:dyDescent="0.3">
      <c r="A4" s="21"/>
      <c r="B4" s="21"/>
      <c r="C4" s="21"/>
      <c r="D4" s="21"/>
      <c r="E4" s="21"/>
      <c r="F4" s="11" t="s">
        <v>53</v>
      </c>
      <c r="G4" s="12">
        <f>SUM($G3:G3)</f>
        <v>3.7037037037037037</v>
      </c>
      <c r="H4" s="12">
        <f>SUM($G3:H3)</f>
        <v>7.4074074074074074</v>
      </c>
      <c r="I4" s="12">
        <f>SUM($G3:I3)</f>
        <v>11.111111111111111</v>
      </c>
      <c r="J4" s="12">
        <f>SUM($G3:J3)</f>
        <v>14.814814814814815</v>
      </c>
      <c r="K4" s="13">
        <f>SUM($G3:K3)</f>
        <v>14.814814814814815</v>
      </c>
      <c r="L4" s="13">
        <f>SUM($G3:L3)</f>
        <v>14.814814814814815</v>
      </c>
      <c r="M4" s="12">
        <f>SUM($G3:M3)</f>
        <v>18.518518518518519</v>
      </c>
      <c r="N4" s="12">
        <f>SUM($G3:N3)</f>
        <v>22.222222222222221</v>
      </c>
      <c r="O4" s="12">
        <f>SUM($G3:O3)</f>
        <v>25.925925925925924</v>
      </c>
      <c r="P4" s="12">
        <f>SUM($G3:P3)</f>
        <v>29.629629629629626</v>
      </c>
      <c r="Q4" s="12">
        <f>SUM($G3:Q3)</f>
        <v>33.333333333333329</v>
      </c>
      <c r="R4" s="13">
        <f>SUM($G3:R3)</f>
        <v>33.333333333333329</v>
      </c>
      <c r="S4" s="13">
        <f>SUM($G3:S3)</f>
        <v>33.333333333333329</v>
      </c>
      <c r="T4" s="12">
        <f>SUM($G3:T3)</f>
        <v>37.037037037037031</v>
      </c>
      <c r="U4" s="12">
        <f>SUM($G3:U3)</f>
        <v>40.740740740740733</v>
      </c>
      <c r="V4" s="12">
        <f>SUM($G3:V3)</f>
        <v>44.444444444444436</v>
      </c>
      <c r="W4" s="12">
        <f>SUM($G3:W3)</f>
        <v>48.148148148148138</v>
      </c>
      <c r="X4" s="12">
        <f>SUM($G3:X3)</f>
        <v>51.851851851851841</v>
      </c>
      <c r="Y4" s="13">
        <f>SUM($G3:Y3)</f>
        <v>51.851851851851841</v>
      </c>
      <c r="Z4" s="13">
        <f>SUM($G3:Z3)</f>
        <v>51.851851851851841</v>
      </c>
      <c r="AA4" s="12">
        <f>SUM($G3:AA3)</f>
        <v>55.555555555555543</v>
      </c>
      <c r="AB4" s="12">
        <f>SUM($G3:AB3)</f>
        <v>59.259259259259245</v>
      </c>
      <c r="AC4" s="12">
        <f>SUM($G3:AC3)</f>
        <v>62.962962962962948</v>
      </c>
      <c r="AD4" s="12">
        <f>SUM($G3:AD3)</f>
        <v>66.666666666666657</v>
      </c>
      <c r="AE4" s="12">
        <f>SUM($G3:AE3)</f>
        <v>70.370370370370367</v>
      </c>
      <c r="AF4" s="13">
        <f>SUM($G3:AF3)</f>
        <v>70.370370370370367</v>
      </c>
      <c r="AG4" s="13">
        <f>SUM($G3:AG3)</f>
        <v>70.370370370370367</v>
      </c>
      <c r="AH4" s="12">
        <f>SUM($G3:AH3)</f>
        <v>74.074074074074076</v>
      </c>
      <c r="AI4" s="12">
        <f>SUM($G3:AI3)</f>
        <v>77.777777777777786</v>
      </c>
      <c r="AJ4" s="12">
        <f>SUM($G3:AJ3)</f>
        <v>81.481481481481495</v>
      </c>
      <c r="AK4" s="12">
        <f>SUM($G3:AK3)</f>
        <v>85.185185185185205</v>
      </c>
      <c r="AL4" s="12">
        <f>SUM($G3:AL3)</f>
        <v>88.888888888888914</v>
      </c>
      <c r="AM4" s="13">
        <f>SUM($G3:AM3)</f>
        <v>88.888888888888914</v>
      </c>
      <c r="AN4" s="13">
        <f>SUM($G3:AN3)</f>
        <v>88.888888888888914</v>
      </c>
      <c r="AO4" s="12">
        <f>SUM($G3:AO3)</f>
        <v>92.592592592592624</v>
      </c>
      <c r="AP4" s="12">
        <f>SUM($G3:AP3)</f>
        <v>96.296296296296333</v>
      </c>
      <c r="AQ4" s="12">
        <f>SUM($G3:AQ3)</f>
        <v>100.00000000000004</v>
      </c>
    </row>
    <row r="5" spans="1:43" x14ac:dyDescent="0.3">
      <c r="A5" s="21" t="s">
        <v>85</v>
      </c>
      <c r="B5" s="22" t="s">
        <v>54</v>
      </c>
      <c r="C5" s="23">
        <v>46276</v>
      </c>
      <c r="D5" s="23">
        <v>46290</v>
      </c>
      <c r="E5" s="24">
        <v>11</v>
      </c>
      <c r="F5" s="4" t="s">
        <v>52</v>
      </c>
      <c r="G5" s="9">
        <f t="shared" ref="G5:AQ5" si="1">IF(AND(G$2&gt;=$C5,G$2&lt;=$D5,WEEKDAY(G$2,2)&lt;=5),100/$E5,0)</f>
        <v>0</v>
      </c>
      <c r="H5" s="9">
        <f t="shared" si="1"/>
        <v>0</v>
      </c>
      <c r="I5" s="9">
        <f t="shared" si="1"/>
        <v>0</v>
      </c>
      <c r="J5" s="9">
        <f t="shared" si="1"/>
        <v>0</v>
      </c>
      <c r="K5" s="10">
        <f t="shared" si="1"/>
        <v>0</v>
      </c>
      <c r="L5" s="10">
        <f t="shared" si="1"/>
        <v>0</v>
      </c>
      <c r="M5" s="9">
        <f t="shared" si="1"/>
        <v>0</v>
      </c>
      <c r="N5" s="9">
        <f t="shared" si="1"/>
        <v>0</v>
      </c>
      <c r="O5" s="9">
        <f t="shared" si="1"/>
        <v>0</v>
      </c>
      <c r="P5" s="9">
        <f t="shared" si="1"/>
        <v>0</v>
      </c>
      <c r="Q5" s="9">
        <f t="shared" si="1"/>
        <v>9.0909090909090917</v>
      </c>
      <c r="R5" s="10">
        <f t="shared" si="1"/>
        <v>0</v>
      </c>
      <c r="S5" s="10">
        <f t="shared" si="1"/>
        <v>0</v>
      </c>
      <c r="T5" s="9">
        <f t="shared" si="1"/>
        <v>9.0909090909090917</v>
      </c>
      <c r="U5" s="9">
        <f t="shared" si="1"/>
        <v>9.0909090909090917</v>
      </c>
      <c r="V5" s="9">
        <f t="shared" si="1"/>
        <v>9.0909090909090917</v>
      </c>
      <c r="W5" s="9">
        <f t="shared" si="1"/>
        <v>9.0909090909090917</v>
      </c>
      <c r="X5" s="9">
        <f t="shared" si="1"/>
        <v>9.0909090909090917</v>
      </c>
      <c r="Y5" s="10">
        <f t="shared" si="1"/>
        <v>0</v>
      </c>
      <c r="Z5" s="10">
        <f t="shared" si="1"/>
        <v>0</v>
      </c>
      <c r="AA5" s="9">
        <f t="shared" si="1"/>
        <v>9.0909090909090917</v>
      </c>
      <c r="AB5" s="9">
        <f t="shared" si="1"/>
        <v>9.0909090909090917</v>
      </c>
      <c r="AC5" s="9">
        <f t="shared" si="1"/>
        <v>9.0909090909090917</v>
      </c>
      <c r="AD5" s="9">
        <f t="shared" si="1"/>
        <v>9.0909090909090917</v>
      </c>
      <c r="AE5" s="9">
        <f t="shared" si="1"/>
        <v>9.0909090909090917</v>
      </c>
      <c r="AF5" s="10">
        <f t="shared" si="1"/>
        <v>0</v>
      </c>
      <c r="AG5" s="10">
        <f t="shared" si="1"/>
        <v>0</v>
      </c>
      <c r="AH5" s="9">
        <f t="shared" si="1"/>
        <v>0</v>
      </c>
      <c r="AI5" s="9">
        <f t="shared" si="1"/>
        <v>0</v>
      </c>
      <c r="AJ5" s="9">
        <f t="shared" si="1"/>
        <v>0</v>
      </c>
      <c r="AK5" s="9">
        <f t="shared" si="1"/>
        <v>0</v>
      </c>
      <c r="AL5" s="9">
        <f t="shared" si="1"/>
        <v>0</v>
      </c>
      <c r="AM5" s="10">
        <f t="shared" si="1"/>
        <v>0</v>
      </c>
      <c r="AN5" s="10">
        <f t="shared" si="1"/>
        <v>0</v>
      </c>
      <c r="AO5" s="9">
        <f t="shared" si="1"/>
        <v>0</v>
      </c>
      <c r="AP5" s="9">
        <f t="shared" si="1"/>
        <v>0</v>
      </c>
      <c r="AQ5" s="9">
        <f t="shared" si="1"/>
        <v>0</v>
      </c>
    </row>
    <row r="6" spans="1:43" x14ac:dyDescent="0.3">
      <c r="A6" s="21"/>
      <c r="B6" s="21"/>
      <c r="C6" s="21"/>
      <c r="D6" s="21"/>
      <c r="E6" s="21"/>
      <c r="F6" s="11" t="s">
        <v>53</v>
      </c>
      <c r="G6" s="12">
        <f>SUM($G5:G5)</f>
        <v>0</v>
      </c>
      <c r="H6" s="12">
        <f>SUM($G5:H5)</f>
        <v>0</v>
      </c>
      <c r="I6" s="12">
        <f>SUM($G5:I5)</f>
        <v>0</v>
      </c>
      <c r="J6" s="12">
        <f>SUM($G5:J5)</f>
        <v>0</v>
      </c>
      <c r="K6" s="13">
        <f>SUM($G5:K5)</f>
        <v>0</v>
      </c>
      <c r="L6" s="13">
        <f>SUM($G5:L5)</f>
        <v>0</v>
      </c>
      <c r="M6" s="12">
        <f>SUM($G5:M5)</f>
        <v>0</v>
      </c>
      <c r="N6" s="12">
        <f>SUM($G5:N5)</f>
        <v>0</v>
      </c>
      <c r="O6" s="12">
        <f>SUM($G5:O5)</f>
        <v>0</v>
      </c>
      <c r="P6" s="12">
        <f>SUM($G5:P5)</f>
        <v>0</v>
      </c>
      <c r="Q6" s="12">
        <f>SUM($G5:Q5)</f>
        <v>9.0909090909090917</v>
      </c>
      <c r="R6" s="13">
        <f>SUM($G5:R5)</f>
        <v>9.0909090909090917</v>
      </c>
      <c r="S6" s="13">
        <f>SUM($G5:S5)</f>
        <v>9.0909090909090917</v>
      </c>
      <c r="T6" s="12">
        <f>SUM($G5:T5)</f>
        <v>18.181818181818183</v>
      </c>
      <c r="U6" s="12">
        <f>SUM($G5:U5)</f>
        <v>27.272727272727273</v>
      </c>
      <c r="V6" s="12">
        <f>SUM($G5:V5)</f>
        <v>36.363636363636367</v>
      </c>
      <c r="W6" s="12">
        <f>SUM($G5:W5)</f>
        <v>45.45454545454546</v>
      </c>
      <c r="X6" s="12">
        <f>SUM($G5:X5)</f>
        <v>54.545454545454554</v>
      </c>
      <c r="Y6" s="13">
        <f>SUM($G5:Y5)</f>
        <v>54.545454545454554</v>
      </c>
      <c r="Z6" s="13">
        <f>SUM($G5:Z5)</f>
        <v>54.545454545454554</v>
      </c>
      <c r="AA6" s="12">
        <f>SUM($G5:AA5)</f>
        <v>63.636363636363647</v>
      </c>
      <c r="AB6" s="12">
        <f>SUM($G5:AB5)</f>
        <v>72.727272727272734</v>
      </c>
      <c r="AC6" s="12">
        <f>SUM($G5:AC5)</f>
        <v>81.818181818181827</v>
      </c>
      <c r="AD6" s="12">
        <f>SUM($G5:AD5)</f>
        <v>90.909090909090921</v>
      </c>
      <c r="AE6" s="12">
        <f>SUM($G5:AE5)</f>
        <v>100.00000000000001</v>
      </c>
      <c r="AF6" s="13">
        <f>SUM($G5:AF5)</f>
        <v>100.00000000000001</v>
      </c>
      <c r="AG6" s="13">
        <f>SUM($G5:AG5)</f>
        <v>100.00000000000001</v>
      </c>
      <c r="AH6" s="12">
        <f>SUM($G5:AH5)</f>
        <v>100.00000000000001</v>
      </c>
      <c r="AI6" s="12">
        <f>SUM($G5:AI5)</f>
        <v>100.00000000000001</v>
      </c>
      <c r="AJ6" s="12">
        <f>SUM($G5:AJ5)</f>
        <v>100.00000000000001</v>
      </c>
      <c r="AK6" s="12">
        <f>SUM($G5:AK5)</f>
        <v>100.00000000000001</v>
      </c>
      <c r="AL6" s="12">
        <f>SUM($G5:AL5)</f>
        <v>100.00000000000001</v>
      </c>
      <c r="AM6" s="13">
        <f>SUM($G5:AM5)</f>
        <v>100.00000000000001</v>
      </c>
      <c r="AN6" s="13">
        <f>SUM($G5:AN5)</f>
        <v>100.00000000000001</v>
      </c>
      <c r="AO6" s="12">
        <f>SUM($G5:AO5)</f>
        <v>100.00000000000001</v>
      </c>
      <c r="AP6" s="12">
        <f>SUM($G5:AP5)</f>
        <v>100.00000000000001</v>
      </c>
      <c r="AQ6" s="12">
        <f>SUM($G5:AQ5)</f>
        <v>100.00000000000001</v>
      </c>
    </row>
    <row r="7" spans="1:43" x14ac:dyDescent="0.3">
      <c r="A7" s="24" t="s">
        <v>86</v>
      </c>
      <c r="B7" s="25" t="s">
        <v>55</v>
      </c>
      <c r="C7" s="23">
        <v>46276</v>
      </c>
      <c r="D7" s="23">
        <v>46290</v>
      </c>
      <c r="E7" s="24">
        <v>11</v>
      </c>
      <c r="F7" s="4" t="s">
        <v>52</v>
      </c>
      <c r="G7" s="9">
        <f t="shared" ref="G7:AQ7" si="2">IF(AND(G$2&gt;=$C7,G$2&lt;=$D7,WEEKDAY(G$2,2)&lt;=5),100/$E7,0)</f>
        <v>0</v>
      </c>
      <c r="H7" s="9">
        <f t="shared" si="2"/>
        <v>0</v>
      </c>
      <c r="I7" s="9">
        <f t="shared" si="2"/>
        <v>0</v>
      </c>
      <c r="J7" s="9">
        <f t="shared" si="2"/>
        <v>0</v>
      </c>
      <c r="K7" s="10">
        <f t="shared" si="2"/>
        <v>0</v>
      </c>
      <c r="L7" s="10">
        <f t="shared" si="2"/>
        <v>0</v>
      </c>
      <c r="M7" s="9">
        <f t="shared" si="2"/>
        <v>0</v>
      </c>
      <c r="N7" s="9">
        <f t="shared" si="2"/>
        <v>0</v>
      </c>
      <c r="O7" s="9">
        <f t="shared" si="2"/>
        <v>0</v>
      </c>
      <c r="P7" s="9">
        <f t="shared" si="2"/>
        <v>0</v>
      </c>
      <c r="Q7" s="9">
        <f t="shared" si="2"/>
        <v>9.0909090909090917</v>
      </c>
      <c r="R7" s="10">
        <f t="shared" si="2"/>
        <v>0</v>
      </c>
      <c r="S7" s="10">
        <f t="shared" si="2"/>
        <v>0</v>
      </c>
      <c r="T7" s="9">
        <f t="shared" si="2"/>
        <v>9.0909090909090917</v>
      </c>
      <c r="U7" s="9">
        <f t="shared" si="2"/>
        <v>9.0909090909090917</v>
      </c>
      <c r="V7" s="9">
        <f t="shared" si="2"/>
        <v>9.0909090909090917</v>
      </c>
      <c r="W7" s="9">
        <f t="shared" si="2"/>
        <v>9.0909090909090917</v>
      </c>
      <c r="X7" s="9">
        <f t="shared" si="2"/>
        <v>9.0909090909090917</v>
      </c>
      <c r="Y7" s="10">
        <f t="shared" si="2"/>
        <v>0</v>
      </c>
      <c r="Z7" s="10">
        <f t="shared" si="2"/>
        <v>0</v>
      </c>
      <c r="AA7" s="9">
        <f t="shared" si="2"/>
        <v>9.0909090909090917</v>
      </c>
      <c r="AB7" s="9">
        <f t="shared" si="2"/>
        <v>9.0909090909090917</v>
      </c>
      <c r="AC7" s="9">
        <f t="shared" si="2"/>
        <v>9.0909090909090917</v>
      </c>
      <c r="AD7" s="9">
        <f t="shared" si="2"/>
        <v>9.0909090909090917</v>
      </c>
      <c r="AE7" s="9">
        <f t="shared" si="2"/>
        <v>9.0909090909090917</v>
      </c>
      <c r="AF7" s="10">
        <f t="shared" si="2"/>
        <v>0</v>
      </c>
      <c r="AG7" s="10">
        <f t="shared" si="2"/>
        <v>0</v>
      </c>
      <c r="AH7" s="9">
        <f t="shared" si="2"/>
        <v>0</v>
      </c>
      <c r="AI7" s="9">
        <f t="shared" si="2"/>
        <v>0</v>
      </c>
      <c r="AJ7" s="9">
        <f t="shared" si="2"/>
        <v>0</v>
      </c>
      <c r="AK7" s="9">
        <f t="shared" si="2"/>
        <v>0</v>
      </c>
      <c r="AL7" s="9">
        <f t="shared" si="2"/>
        <v>0</v>
      </c>
      <c r="AM7" s="10">
        <f t="shared" si="2"/>
        <v>0</v>
      </c>
      <c r="AN7" s="10">
        <f t="shared" si="2"/>
        <v>0</v>
      </c>
      <c r="AO7" s="9">
        <f t="shared" si="2"/>
        <v>0</v>
      </c>
      <c r="AP7" s="9">
        <f t="shared" si="2"/>
        <v>0</v>
      </c>
      <c r="AQ7" s="9">
        <f t="shared" si="2"/>
        <v>0</v>
      </c>
    </row>
    <row r="8" spans="1:43" x14ac:dyDescent="0.3">
      <c r="A8" s="24"/>
      <c r="B8" s="24"/>
      <c r="C8" s="24"/>
      <c r="D8" s="24"/>
      <c r="E8" s="24"/>
      <c r="F8" s="11" t="s">
        <v>53</v>
      </c>
      <c r="G8" s="12">
        <f>SUM($G7:G7)</f>
        <v>0</v>
      </c>
      <c r="H8" s="12">
        <f>SUM($G7:H7)</f>
        <v>0</v>
      </c>
      <c r="I8" s="12">
        <f>SUM($G7:I7)</f>
        <v>0</v>
      </c>
      <c r="J8" s="12">
        <f>SUM($G7:J7)</f>
        <v>0</v>
      </c>
      <c r="K8" s="13">
        <f>SUM($G7:K7)</f>
        <v>0</v>
      </c>
      <c r="L8" s="13">
        <f>SUM($G7:L7)</f>
        <v>0</v>
      </c>
      <c r="M8" s="12">
        <f>SUM($G7:M7)</f>
        <v>0</v>
      </c>
      <c r="N8" s="12">
        <f>SUM($G7:N7)</f>
        <v>0</v>
      </c>
      <c r="O8" s="12">
        <f>SUM($G7:O7)</f>
        <v>0</v>
      </c>
      <c r="P8" s="12">
        <f>SUM($G7:P7)</f>
        <v>0</v>
      </c>
      <c r="Q8" s="12">
        <f>SUM($G7:Q7)</f>
        <v>9.0909090909090917</v>
      </c>
      <c r="R8" s="13">
        <f>SUM($G7:R7)</f>
        <v>9.0909090909090917</v>
      </c>
      <c r="S8" s="13">
        <f>SUM($G7:S7)</f>
        <v>9.0909090909090917</v>
      </c>
      <c r="T8" s="12">
        <f>SUM($G7:T7)</f>
        <v>18.181818181818183</v>
      </c>
      <c r="U8" s="12">
        <f>SUM($G7:U7)</f>
        <v>27.272727272727273</v>
      </c>
      <c r="V8" s="12">
        <f>SUM($G7:V7)</f>
        <v>36.363636363636367</v>
      </c>
      <c r="W8" s="12">
        <f>SUM($G7:W7)</f>
        <v>45.45454545454546</v>
      </c>
      <c r="X8" s="12">
        <f>SUM($G7:X7)</f>
        <v>54.545454545454554</v>
      </c>
      <c r="Y8" s="13">
        <f>SUM($G7:Y7)</f>
        <v>54.545454545454554</v>
      </c>
      <c r="Z8" s="13">
        <f>SUM($G7:Z7)</f>
        <v>54.545454545454554</v>
      </c>
      <c r="AA8" s="12">
        <f>SUM($G7:AA7)</f>
        <v>63.636363636363647</v>
      </c>
      <c r="AB8" s="12">
        <f>SUM($G7:AB7)</f>
        <v>72.727272727272734</v>
      </c>
      <c r="AC8" s="12">
        <f>SUM($G7:AC7)</f>
        <v>81.818181818181827</v>
      </c>
      <c r="AD8" s="12">
        <f>SUM($G7:AD7)</f>
        <v>90.909090909090921</v>
      </c>
      <c r="AE8" s="12">
        <f>SUM($G7:AE7)</f>
        <v>100.00000000000001</v>
      </c>
      <c r="AF8" s="13">
        <f>SUM($G7:AF7)</f>
        <v>100.00000000000001</v>
      </c>
      <c r="AG8" s="13">
        <f>SUM($G7:AG7)</f>
        <v>100.00000000000001</v>
      </c>
      <c r="AH8" s="12">
        <f>SUM($G7:AH7)</f>
        <v>100.00000000000001</v>
      </c>
      <c r="AI8" s="12">
        <f>SUM($G7:AI7)</f>
        <v>100.00000000000001</v>
      </c>
      <c r="AJ8" s="12">
        <f>SUM($G7:AJ7)</f>
        <v>100.00000000000001</v>
      </c>
      <c r="AK8" s="12">
        <f>SUM($G7:AK7)</f>
        <v>100.00000000000001</v>
      </c>
      <c r="AL8" s="12">
        <f>SUM($G7:AL7)</f>
        <v>100.00000000000001</v>
      </c>
      <c r="AM8" s="13">
        <f>SUM($G7:AM7)</f>
        <v>100.00000000000001</v>
      </c>
      <c r="AN8" s="13">
        <f>SUM($G7:AN7)</f>
        <v>100.00000000000001</v>
      </c>
      <c r="AO8" s="12">
        <f>SUM($G7:AO7)</f>
        <v>100.00000000000001</v>
      </c>
      <c r="AP8" s="12">
        <f>SUM($G7:AP7)</f>
        <v>100.00000000000001</v>
      </c>
      <c r="AQ8" s="12">
        <f>SUM($G7:AQ7)</f>
        <v>100.00000000000001</v>
      </c>
    </row>
    <row r="9" spans="1:43" x14ac:dyDescent="0.3">
      <c r="A9" s="21"/>
      <c r="B9" s="22" t="s">
        <v>56</v>
      </c>
      <c r="C9" s="23">
        <v>46266</v>
      </c>
      <c r="D9" s="23">
        <v>46296</v>
      </c>
      <c r="E9" s="24">
        <v>23</v>
      </c>
      <c r="F9" s="4" t="s">
        <v>52</v>
      </c>
      <c r="G9" s="9">
        <f t="shared" ref="G9:AQ9" si="3">IF(AND(G$2&gt;=$C9,G$2&lt;=$D9,WEEKDAY(G$2,2)&lt;=5),100/$E9,0)</f>
        <v>4.3478260869565215</v>
      </c>
      <c r="H9" s="9">
        <f t="shared" si="3"/>
        <v>4.3478260869565215</v>
      </c>
      <c r="I9" s="9">
        <f t="shared" si="3"/>
        <v>4.3478260869565215</v>
      </c>
      <c r="J9" s="9">
        <f t="shared" si="3"/>
        <v>4.3478260869565215</v>
      </c>
      <c r="K9" s="10">
        <f t="shared" si="3"/>
        <v>0</v>
      </c>
      <c r="L9" s="10">
        <f t="shared" si="3"/>
        <v>0</v>
      </c>
      <c r="M9" s="9">
        <f t="shared" si="3"/>
        <v>4.3478260869565215</v>
      </c>
      <c r="N9" s="9">
        <f t="shared" si="3"/>
        <v>4.3478260869565215</v>
      </c>
      <c r="O9" s="9">
        <f t="shared" si="3"/>
        <v>4.3478260869565215</v>
      </c>
      <c r="P9" s="9">
        <f t="shared" si="3"/>
        <v>4.3478260869565215</v>
      </c>
      <c r="Q9" s="9">
        <f t="shared" si="3"/>
        <v>4.3478260869565215</v>
      </c>
      <c r="R9" s="10">
        <f t="shared" si="3"/>
        <v>0</v>
      </c>
      <c r="S9" s="10">
        <f t="shared" si="3"/>
        <v>0</v>
      </c>
      <c r="T9" s="9">
        <f t="shared" si="3"/>
        <v>4.3478260869565215</v>
      </c>
      <c r="U9" s="9">
        <f t="shared" si="3"/>
        <v>4.3478260869565215</v>
      </c>
      <c r="V9" s="9">
        <f t="shared" si="3"/>
        <v>4.3478260869565215</v>
      </c>
      <c r="W9" s="9">
        <f t="shared" si="3"/>
        <v>4.3478260869565215</v>
      </c>
      <c r="X9" s="9">
        <f t="shared" si="3"/>
        <v>4.3478260869565215</v>
      </c>
      <c r="Y9" s="10">
        <f t="shared" si="3"/>
        <v>0</v>
      </c>
      <c r="Z9" s="10">
        <f t="shared" si="3"/>
        <v>0</v>
      </c>
      <c r="AA9" s="9">
        <f t="shared" si="3"/>
        <v>4.3478260869565215</v>
      </c>
      <c r="AB9" s="9">
        <f t="shared" si="3"/>
        <v>4.3478260869565215</v>
      </c>
      <c r="AC9" s="9">
        <f t="shared" si="3"/>
        <v>4.3478260869565215</v>
      </c>
      <c r="AD9" s="9">
        <f t="shared" si="3"/>
        <v>4.3478260869565215</v>
      </c>
      <c r="AE9" s="9">
        <f t="shared" si="3"/>
        <v>4.3478260869565215</v>
      </c>
      <c r="AF9" s="10">
        <f t="shared" si="3"/>
        <v>0</v>
      </c>
      <c r="AG9" s="10">
        <f t="shared" si="3"/>
        <v>0</v>
      </c>
      <c r="AH9" s="9">
        <f t="shared" si="3"/>
        <v>4.3478260869565215</v>
      </c>
      <c r="AI9" s="9">
        <f t="shared" si="3"/>
        <v>4.3478260869565215</v>
      </c>
      <c r="AJ9" s="9">
        <f t="shared" si="3"/>
        <v>4.3478260869565215</v>
      </c>
      <c r="AK9" s="9">
        <f t="shared" si="3"/>
        <v>4.3478260869565215</v>
      </c>
      <c r="AL9" s="9">
        <f t="shared" si="3"/>
        <v>0</v>
      </c>
      <c r="AM9" s="10">
        <f t="shared" si="3"/>
        <v>0</v>
      </c>
      <c r="AN9" s="10">
        <f t="shared" si="3"/>
        <v>0</v>
      </c>
      <c r="AO9" s="9">
        <f t="shared" si="3"/>
        <v>0</v>
      </c>
      <c r="AP9" s="9">
        <f t="shared" si="3"/>
        <v>0</v>
      </c>
      <c r="AQ9" s="9">
        <f t="shared" si="3"/>
        <v>0</v>
      </c>
    </row>
    <row r="10" spans="1:43" x14ac:dyDescent="0.3">
      <c r="A10" s="21"/>
      <c r="B10" s="21"/>
      <c r="C10" s="21"/>
      <c r="D10" s="21"/>
      <c r="E10" s="21"/>
      <c r="F10" s="11" t="s">
        <v>53</v>
      </c>
      <c r="G10" s="12">
        <f>SUM($G9:G9)</f>
        <v>4.3478260869565215</v>
      </c>
      <c r="H10" s="12">
        <f>SUM($G9:H9)</f>
        <v>8.695652173913043</v>
      </c>
      <c r="I10" s="12">
        <f>SUM($G9:I9)</f>
        <v>13.043478260869565</v>
      </c>
      <c r="J10" s="12">
        <f>SUM($G9:J9)</f>
        <v>17.391304347826086</v>
      </c>
      <c r="K10" s="13">
        <f>SUM($G9:K9)</f>
        <v>17.391304347826086</v>
      </c>
      <c r="L10" s="13">
        <f>SUM($G9:L9)</f>
        <v>17.391304347826086</v>
      </c>
      <c r="M10" s="12">
        <f>SUM($G9:M9)</f>
        <v>21.739130434782609</v>
      </c>
      <c r="N10" s="12">
        <f>SUM($G9:N9)</f>
        <v>26.086956521739133</v>
      </c>
      <c r="O10" s="12">
        <f>SUM($G9:O9)</f>
        <v>30.434782608695656</v>
      </c>
      <c r="P10" s="12">
        <f>SUM($G9:P9)</f>
        <v>34.782608695652179</v>
      </c>
      <c r="Q10" s="12">
        <f>SUM($G9:Q9)</f>
        <v>39.130434782608702</v>
      </c>
      <c r="R10" s="13">
        <f>SUM($G9:R9)</f>
        <v>39.130434782608702</v>
      </c>
      <c r="S10" s="13">
        <f>SUM($G9:S9)</f>
        <v>39.130434782608702</v>
      </c>
      <c r="T10" s="12">
        <f>SUM($G9:T9)</f>
        <v>43.478260869565226</v>
      </c>
      <c r="U10" s="12">
        <f>SUM($G9:U9)</f>
        <v>47.826086956521749</v>
      </c>
      <c r="V10" s="12">
        <f>SUM($G9:V9)</f>
        <v>52.173913043478272</v>
      </c>
      <c r="W10" s="12">
        <f>SUM($G9:W9)</f>
        <v>56.521739130434796</v>
      </c>
      <c r="X10" s="12">
        <f>SUM($G9:X9)</f>
        <v>60.869565217391319</v>
      </c>
      <c r="Y10" s="13">
        <f>SUM($G9:Y9)</f>
        <v>60.869565217391319</v>
      </c>
      <c r="Z10" s="13">
        <f>SUM($G9:Z9)</f>
        <v>60.869565217391319</v>
      </c>
      <c r="AA10" s="12">
        <f>SUM($G9:AA9)</f>
        <v>65.217391304347842</v>
      </c>
      <c r="AB10" s="12">
        <f>SUM($G9:AB9)</f>
        <v>69.565217391304358</v>
      </c>
      <c r="AC10" s="12">
        <f>SUM($G9:AC9)</f>
        <v>73.913043478260875</v>
      </c>
      <c r="AD10" s="12">
        <f>SUM($G9:AD9)</f>
        <v>78.260869565217391</v>
      </c>
      <c r="AE10" s="12">
        <f>SUM($G9:AE9)</f>
        <v>82.608695652173907</v>
      </c>
      <c r="AF10" s="13">
        <f>SUM($G9:AF9)</f>
        <v>82.608695652173907</v>
      </c>
      <c r="AG10" s="13">
        <f>SUM($G9:AG9)</f>
        <v>82.608695652173907</v>
      </c>
      <c r="AH10" s="12">
        <f>SUM($G9:AH9)</f>
        <v>86.956521739130423</v>
      </c>
      <c r="AI10" s="12">
        <f>SUM($G9:AI9)</f>
        <v>91.304347826086939</v>
      </c>
      <c r="AJ10" s="12">
        <f>SUM($G9:AJ9)</f>
        <v>95.652173913043455</v>
      </c>
      <c r="AK10" s="12">
        <f>SUM($G9:AK9)</f>
        <v>99.999999999999972</v>
      </c>
      <c r="AL10" s="12">
        <f>SUM($G9:AL9)</f>
        <v>99.999999999999972</v>
      </c>
      <c r="AM10" s="13">
        <f>SUM($G9:AM9)</f>
        <v>99.999999999999972</v>
      </c>
      <c r="AN10" s="13">
        <f>SUM($G9:AN9)</f>
        <v>99.999999999999972</v>
      </c>
      <c r="AO10" s="12">
        <f>SUM($G9:AO9)</f>
        <v>99.999999999999972</v>
      </c>
      <c r="AP10" s="12">
        <f>SUM($G9:AP9)</f>
        <v>99.999999999999972</v>
      </c>
      <c r="AQ10" s="12">
        <f>SUM($G9:AQ9)</f>
        <v>99.999999999999972</v>
      </c>
    </row>
    <row r="11" spans="1:43" x14ac:dyDescent="0.3">
      <c r="A11" s="21" t="s">
        <v>87</v>
      </c>
      <c r="B11" s="22" t="s">
        <v>57</v>
      </c>
      <c r="C11" s="23">
        <v>46272</v>
      </c>
      <c r="D11" s="23">
        <v>46293</v>
      </c>
      <c r="E11" s="24">
        <v>16</v>
      </c>
      <c r="F11" s="4" t="s">
        <v>52</v>
      </c>
      <c r="G11" s="9">
        <f t="shared" ref="G11:AQ11" si="4">IF(AND(G$2&gt;=$C11,G$2&lt;=$D11,WEEKDAY(G$2,2)&lt;=5),100/$E11,0)</f>
        <v>0</v>
      </c>
      <c r="H11" s="9">
        <f t="shared" si="4"/>
        <v>0</v>
      </c>
      <c r="I11" s="9">
        <f t="shared" si="4"/>
        <v>0</v>
      </c>
      <c r="J11" s="9">
        <f t="shared" si="4"/>
        <v>0</v>
      </c>
      <c r="K11" s="10">
        <f t="shared" si="4"/>
        <v>0</v>
      </c>
      <c r="L11" s="10">
        <f t="shared" si="4"/>
        <v>0</v>
      </c>
      <c r="M11" s="9">
        <f t="shared" si="4"/>
        <v>6.25</v>
      </c>
      <c r="N11" s="9">
        <f t="shared" si="4"/>
        <v>6.25</v>
      </c>
      <c r="O11" s="9">
        <f t="shared" si="4"/>
        <v>6.25</v>
      </c>
      <c r="P11" s="9">
        <f t="shared" si="4"/>
        <v>6.25</v>
      </c>
      <c r="Q11" s="9">
        <f t="shared" si="4"/>
        <v>6.25</v>
      </c>
      <c r="R11" s="10">
        <f t="shared" si="4"/>
        <v>0</v>
      </c>
      <c r="S11" s="10">
        <f t="shared" si="4"/>
        <v>0</v>
      </c>
      <c r="T11" s="9">
        <f t="shared" si="4"/>
        <v>6.25</v>
      </c>
      <c r="U11" s="9">
        <f t="shared" si="4"/>
        <v>6.25</v>
      </c>
      <c r="V11" s="9">
        <f t="shared" si="4"/>
        <v>6.25</v>
      </c>
      <c r="W11" s="9">
        <f t="shared" si="4"/>
        <v>6.25</v>
      </c>
      <c r="X11" s="9">
        <f t="shared" si="4"/>
        <v>6.25</v>
      </c>
      <c r="Y11" s="10">
        <f t="shared" si="4"/>
        <v>0</v>
      </c>
      <c r="Z11" s="10">
        <f t="shared" si="4"/>
        <v>0</v>
      </c>
      <c r="AA11" s="9">
        <f t="shared" si="4"/>
        <v>6.25</v>
      </c>
      <c r="AB11" s="9">
        <f t="shared" si="4"/>
        <v>6.25</v>
      </c>
      <c r="AC11" s="9">
        <f t="shared" si="4"/>
        <v>6.25</v>
      </c>
      <c r="AD11" s="9">
        <f t="shared" si="4"/>
        <v>6.25</v>
      </c>
      <c r="AE11" s="9">
        <f t="shared" si="4"/>
        <v>6.25</v>
      </c>
      <c r="AF11" s="10">
        <f t="shared" si="4"/>
        <v>0</v>
      </c>
      <c r="AG11" s="10">
        <f t="shared" si="4"/>
        <v>0</v>
      </c>
      <c r="AH11" s="9">
        <f t="shared" si="4"/>
        <v>6.25</v>
      </c>
      <c r="AI11" s="9">
        <f t="shared" si="4"/>
        <v>0</v>
      </c>
      <c r="AJ11" s="9">
        <f t="shared" si="4"/>
        <v>0</v>
      </c>
      <c r="AK11" s="9">
        <f t="shared" si="4"/>
        <v>0</v>
      </c>
      <c r="AL11" s="9">
        <f t="shared" si="4"/>
        <v>0</v>
      </c>
      <c r="AM11" s="10">
        <f t="shared" si="4"/>
        <v>0</v>
      </c>
      <c r="AN11" s="10">
        <f t="shared" si="4"/>
        <v>0</v>
      </c>
      <c r="AO11" s="9">
        <f t="shared" si="4"/>
        <v>0</v>
      </c>
      <c r="AP11" s="9">
        <f t="shared" si="4"/>
        <v>0</v>
      </c>
      <c r="AQ11" s="9">
        <f t="shared" si="4"/>
        <v>0</v>
      </c>
    </row>
    <row r="12" spans="1:43" x14ac:dyDescent="0.3">
      <c r="A12" s="21"/>
      <c r="B12" s="21"/>
      <c r="C12" s="21"/>
      <c r="D12" s="21"/>
      <c r="E12" s="21"/>
      <c r="F12" s="11" t="s">
        <v>53</v>
      </c>
      <c r="G12" s="12">
        <f>SUM($G11:G11)</f>
        <v>0</v>
      </c>
      <c r="H12" s="12">
        <f>SUM($G11:H11)</f>
        <v>0</v>
      </c>
      <c r="I12" s="12">
        <f>SUM($G11:I11)</f>
        <v>0</v>
      </c>
      <c r="J12" s="12">
        <f>SUM($G11:J11)</f>
        <v>0</v>
      </c>
      <c r="K12" s="13">
        <f>SUM($G11:K11)</f>
        <v>0</v>
      </c>
      <c r="L12" s="13">
        <f>SUM($G11:L11)</f>
        <v>0</v>
      </c>
      <c r="M12" s="12">
        <f>SUM($G11:M11)</f>
        <v>6.25</v>
      </c>
      <c r="N12" s="12">
        <f>SUM($G11:N11)</f>
        <v>12.5</v>
      </c>
      <c r="O12" s="12">
        <f>SUM($G11:O11)</f>
        <v>18.75</v>
      </c>
      <c r="P12" s="12">
        <f>SUM($G11:P11)</f>
        <v>25</v>
      </c>
      <c r="Q12" s="12">
        <f>SUM($G11:Q11)</f>
        <v>31.25</v>
      </c>
      <c r="R12" s="13">
        <f>SUM($G11:R11)</f>
        <v>31.25</v>
      </c>
      <c r="S12" s="13">
        <f>SUM($G11:S11)</f>
        <v>31.25</v>
      </c>
      <c r="T12" s="12">
        <f>SUM($G11:T11)</f>
        <v>37.5</v>
      </c>
      <c r="U12" s="12">
        <f>SUM($G11:U11)</f>
        <v>43.75</v>
      </c>
      <c r="V12" s="12">
        <f>SUM($G11:V11)</f>
        <v>50</v>
      </c>
      <c r="W12" s="12">
        <f>SUM($G11:W11)</f>
        <v>56.25</v>
      </c>
      <c r="X12" s="12">
        <f>SUM($G11:X11)</f>
        <v>62.5</v>
      </c>
      <c r="Y12" s="13">
        <f>SUM($G11:Y11)</f>
        <v>62.5</v>
      </c>
      <c r="Z12" s="13">
        <f>SUM($G11:Z11)</f>
        <v>62.5</v>
      </c>
      <c r="AA12" s="12">
        <f>SUM($G11:AA11)</f>
        <v>68.75</v>
      </c>
      <c r="AB12" s="12">
        <f>SUM($G11:AB11)</f>
        <v>75</v>
      </c>
      <c r="AC12" s="12">
        <f>SUM($G11:AC11)</f>
        <v>81.25</v>
      </c>
      <c r="AD12" s="12">
        <f>SUM($G11:AD11)</f>
        <v>87.5</v>
      </c>
      <c r="AE12" s="12">
        <f>SUM($G11:AE11)</f>
        <v>93.75</v>
      </c>
      <c r="AF12" s="13">
        <f>SUM($G11:AF11)</f>
        <v>93.75</v>
      </c>
      <c r="AG12" s="13">
        <f>SUM($G11:AG11)</f>
        <v>93.75</v>
      </c>
      <c r="AH12" s="12">
        <f>SUM($G11:AH11)</f>
        <v>100</v>
      </c>
      <c r="AI12" s="12">
        <f>SUM($G11:AI11)</f>
        <v>100</v>
      </c>
      <c r="AJ12" s="12">
        <f>SUM($G11:AJ11)</f>
        <v>100</v>
      </c>
      <c r="AK12" s="12">
        <f>SUM($G11:AK11)</f>
        <v>100</v>
      </c>
      <c r="AL12" s="12">
        <f>SUM($G11:AL11)</f>
        <v>100</v>
      </c>
      <c r="AM12" s="13">
        <f>SUM($G11:AM11)</f>
        <v>100</v>
      </c>
      <c r="AN12" s="13">
        <f>SUM($G11:AN11)</f>
        <v>100</v>
      </c>
      <c r="AO12" s="12">
        <f>SUM($G11:AO11)</f>
        <v>100</v>
      </c>
      <c r="AP12" s="12">
        <f>SUM($G11:AP11)</f>
        <v>100</v>
      </c>
      <c r="AQ12" s="12">
        <f>SUM($G11:AQ11)</f>
        <v>100</v>
      </c>
    </row>
    <row r="13" spans="1:43" x14ac:dyDescent="0.3">
      <c r="A13" s="24" t="s">
        <v>88</v>
      </c>
      <c r="B13" s="25" t="s">
        <v>58</v>
      </c>
      <c r="C13" s="23">
        <v>46272</v>
      </c>
      <c r="D13" s="23">
        <v>46280</v>
      </c>
      <c r="E13" s="24">
        <v>7</v>
      </c>
      <c r="F13" s="4" t="s">
        <v>52</v>
      </c>
      <c r="G13" s="9">
        <f t="shared" ref="G13:AQ13" si="5">IF(AND(G$2&gt;=$C13,G$2&lt;=$D13,WEEKDAY(G$2,2)&lt;=5),100/$E13,0)</f>
        <v>0</v>
      </c>
      <c r="H13" s="9">
        <f t="shared" si="5"/>
        <v>0</v>
      </c>
      <c r="I13" s="9">
        <f t="shared" si="5"/>
        <v>0</v>
      </c>
      <c r="J13" s="9">
        <f t="shared" si="5"/>
        <v>0</v>
      </c>
      <c r="K13" s="10">
        <f t="shared" si="5"/>
        <v>0</v>
      </c>
      <c r="L13" s="10">
        <f t="shared" si="5"/>
        <v>0</v>
      </c>
      <c r="M13" s="9">
        <f t="shared" si="5"/>
        <v>14.285714285714286</v>
      </c>
      <c r="N13" s="9">
        <f t="shared" si="5"/>
        <v>14.285714285714286</v>
      </c>
      <c r="O13" s="9">
        <f t="shared" si="5"/>
        <v>14.285714285714286</v>
      </c>
      <c r="P13" s="9">
        <f t="shared" si="5"/>
        <v>14.285714285714286</v>
      </c>
      <c r="Q13" s="9">
        <f t="shared" si="5"/>
        <v>14.285714285714286</v>
      </c>
      <c r="R13" s="10">
        <f t="shared" si="5"/>
        <v>0</v>
      </c>
      <c r="S13" s="10">
        <f t="shared" si="5"/>
        <v>0</v>
      </c>
      <c r="T13" s="9">
        <f t="shared" si="5"/>
        <v>14.285714285714286</v>
      </c>
      <c r="U13" s="9">
        <f t="shared" si="5"/>
        <v>14.285714285714286</v>
      </c>
      <c r="V13" s="9">
        <f t="shared" si="5"/>
        <v>0</v>
      </c>
      <c r="W13" s="9">
        <f t="shared" si="5"/>
        <v>0</v>
      </c>
      <c r="X13" s="9">
        <f t="shared" si="5"/>
        <v>0</v>
      </c>
      <c r="Y13" s="10">
        <f t="shared" si="5"/>
        <v>0</v>
      </c>
      <c r="Z13" s="10">
        <f t="shared" si="5"/>
        <v>0</v>
      </c>
      <c r="AA13" s="9">
        <f t="shared" si="5"/>
        <v>0</v>
      </c>
      <c r="AB13" s="9">
        <f t="shared" si="5"/>
        <v>0</v>
      </c>
      <c r="AC13" s="9">
        <f t="shared" si="5"/>
        <v>0</v>
      </c>
      <c r="AD13" s="9">
        <f t="shared" si="5"/>
        <v>0</v>
      </c>
      <c r="AE13" s="9">
        <f t="shared" si="5"/>
        <v>0</v>
      </c>
      <c r="AF13" s="10">
        <f t="shared" si="5"/>
        <v>0</v>
      </c>
      <c r="AG13" s="10">
        <f t="shared" si="5"/>
        <v>0</v>
      </c>
      <c r="AH13" s="9">
        <f t="shared" si="5"/>
        <v>0</v>
      </c>
      <c r="AI13" s="9">
        <f t="shared" si="5"/>
        <v>0</v>
      </c>
      <c r="AJ13" s="9">
        <f t="shared" si="5"/>
        <v>0</v>
      </c>
      <c r="AK13" s="9">
        <f t="shared" si="5"/>
        <v>0</v>
      </c>
      <c r="AL13" s="9">
        <f t="shared" si="5"/>
        <v>0</v>
      </c>
      <c r="AM13" s="10">
        <f t="shared" si="5"/>
        <v>0</v>
      </c>
      <c r="AN13" s="10">
        <f t="shared" si="5"/>
        <v>0</v>
      </c>
      <c r="AO13" s="9">
        <f t="shared" si="5"/>
        <v>0</v>
      </c>
      <c r="AP13" s="9">
        <f t="shared" si="5"/>
        <v>0</v>
      </c>
      <c r="AQ13" s="9">
        <f t="shared" si="5"/>
        <v>0</v>
      </c>
    </row>
    <row r="14" spans="1:43" x14ac:dyDescent="0.3">
      <c r="A14" s="24"/>
      <c r="B14" s="24"/>
      <c r="C14" s="24"/>
      <c r="D14" s="24"/>
      <c r="E14" s="24"/>
      <c r="F14" s="11" t="s">
        <v>53</v>
      </c>
      <c r="G14" s="12">
        <f>SUM($G13:G13)</f>
        <v>0</v>
      </c>
      <c r="H14" s="12">
        <f>SUM($G13:H13)</f>
        <v>0</v>
      </c>
      <c r="I14" s="12">
        <f>SUM($G13:I13)</f>
        <v>0</v>
      </c>
      <c r="J14" s="12">
        <f>SUM($G13:J13)</f>
        <v>0</v>
      </c>
      <c r="K14" s="13">
        <f>SUM($G13:K13)</f>
        <v>0</v>
      </c>
      <c r="L14" s="13">
        <f>SUM($G13:L13)</f>
        <v>0</v>
      </c>
      <c r="M14" s="12">
        <f>SUM($G13:M13)</f>
        <v>14.285714285714286</v>
      </c>
      <c r="N14" s="12">
        <f>SUM($G13:N13)</f>
        <v>28.571428571428573</v>
      </c>
      <c r="O14" s="12">
        <f>SUM($G13:O13)</f>
        <v>42.857142857142861</v>
      </c>
      <c r="P14" s="12">
        <f>SUM($G13:P13)</f>
        <v>57.142857142857146</v>
      </c>
      <c r="Q14" s="12">
        <f>SUM($G13:Q13)</f>
        <v>71.428571428571431</v>
      </c>
      <c r="R14" s="13">
        <f>SUM($G13:R13)</f>
        <v>71.428571428571431</v>
      </c>
      <c r="S14" s="13">
        <f>SUM($G13:S13)</f>
        <v>71.428571428571431</v>
      </c>
      <c r="T14" s="12">
        <f>SUM($G13:T13)</f>
        <v>85.714285714285722</v>
      </c>
      <c r="U14" s="12">
        <f>SUM($G13:U13)</f>
        <v>100.00000000000001</v>
      </c>
      <c r="V14" s="12">
        <f>SUM($G13:V13)</f>
        <v>100.00000000000001</v>
      </c>
      <c r="W14" s="12">
        <f>SUM($G13:W13)</f>
        <v>100.00000000000001</v>
      </c>
      <c r="X14" s="12">
        <f>SUM($G13:X13)</f>
        <v>100.00000000000001</v>
      </c>
      <c r="Y14" s="13">
        <f>SUM($G13:Y13)</f>
        <v>100.00000000000001</v>
      </c>
      <c r="Z14" s="13">
        <f>SUM($G13:Z13)</f>
        <v>100.00000000000001</v>
      </c>
      <c r="AA14" s="12">
        <f>SUM($G13:AA13)</f>
        <v>100.00000000000001</v>
      </c>
      <c r="AB14" s="12">
        <f>SUM($G13:AB13)</f>
        <v>100.00000000000001</v>
      </c>
      <c r="AC14" s="12">
        <f>SUM($G13:AC13)</f>
        <v>100.00000000000001</v>
      </c>
      <c r="AD14" s="12">
        <f>SUM($G13:AD13)</f>
        <v>100.00000000000001</v>
      </c>
      <c r="AE14" s="12">
        <f>SUM($G13:AE13)</f>
        <v>100.00000000000001</v>
      </c>
      <c r="AF14" s="13">
        <f>SUM($G13:AF13)</f>
        <v>100.00000000000001</v>
      </c>
      <c r="AG14" s="13">
        <f>SUM($G13:AG13)</f>
        <v>100.00000000000001</v>
      </c>
      <c r="AH14" s="12">
        <f>SUM($G13:AH13)</f>
        <v>100.00000000000001</v>
      </c>
      <c r="AI14" s="12">
        <f>SUM($G13:AI13)</f>
        <v>100.00000000000001</v>
      </c>
      <c r="AJ14" s="12">
        <f>SUM($G13:AJ13)</f>
        <v>100.00000000000001</v>
      </c>
      <c r="AK14" s="12">
        <f>SUM($G13:AK13)</f>
        <v>100.00000000000001</v>
      </c>
      <c r="AL14" s="12">
        <f>SUM($G13:AL13)</f>
        <v>100.00000000000001</v>
      </c>
      <c r="AM14" s="13">
        <f>SUM($G13:AM13)</f>
        <v>100.00000000000001</v>
      </c>
      <c r="AN14" s="13">
        <f>SUM($G13:AN13)</f>
        <v>100.00000000000001</v>
      </c>
      <c r="AO14" s="12">
        <f>SUM($G13:AO13)</f>
        <v>100.00000000000001</v>
      </c>
      <c r="AP14" s="12">
        <f>SUM($G13:AP13)</f>
        <v>100.00000000000001</v>
      </c>
      <c r="AQ14" s="12">
        <f>SUM($G13:AQ13)</f>
        <v>100.00000000000001</v>
      </c>
    </row>
    <row r="15" spans="1:43" x14ac:dyDescent="0.3">
      <c r="A15" s="24" t="s">
        <v>89</v>
      </c>
      <c r="B15" s="25" t="s">
        <v>59</v>
      </c>
      <c r="C15" s="23">
        <v>46276</v>
      </c>
      <c r="D15" s="23">
        <v>46282</v>
      </c>
      <c r="E15" s="24">
        <v>5</v>
      </c>
      <c r="F15" s="4" t="s">
        <v>52</v>
      </c>
      <c r="G15" s="9">
        <f t="shared" ref="G15:AQ15" si="6">IF(AND(G$2&gt;=$C15,G$2&lt;=$D15,WEEKDAY(G$2,2)&lt;=5),100/$E15,0)</f>
        <v>0</v>
      </c>
      <c r="H15" s="9">
        <f t="shared" si="6"/>
        <v>0</v>
      </c>
      <c r="I15" s="9">
        <f t="shared" si="6"/>
        <v>0</v>
      </c>
      <c r="J15" s="9">
        <f t="shared" si="6"/>
        <v>0</v>
      </c>
      <c r="K15" s="10">
        <f t="shared" si="6"/>
        <v>0</v>
      </c>
      <c r="L15" s="10">
        <f t="shared" si="6"/>
        <v>0</v>
      </c>
      <c r="M15" s="9">
        <f t="shared" si="6"/>
        <v>0</v>
      </c>
      <c r="N15" s="9">
        <f t="shared" si="6"/>
        <v>0</v>
      </c>
      <c r="O15" s="9">
        <f t="shared" si="6"/>
        <v>0</v>
      </c>
      <c r="P15" s="9">
        <f t="shared" si="6"/>
        <v>0</v>
      </c>
      <c r="Q15" s="9">
        <f t="shared" si="6"/>
        <v>20</v>
      </c>
      <c r="R15" s="10">
        <f t="shared" si="6"/>
        <v>0</v>
      </c>
      <c r="S15" s="10">
        <f t="shared" si="6"/>
        <v>0</v>
      </c>
      <c r="T15" s="9">
        <f t="shared" si="6"/>
        <v>20</v>
      </c>
      <c r="U15" s="9">
        <f t="shared" si="6"/>
        <v>20</v>
      </c>
      <c r="V15" s="9">
        <f t="shared" si="6"/>
        <v>20</v>
      </c>
      <c r="W15" s="9">
        <f t="shared" si="6"/>
        <v>20</v>
      </c>
      <c r="X15" s="9">
        <f t="shared" si="6"/>
        <v>0</v>
      </c>
      <c r="Y15" s="10">
        <f t="shared" si="6"/>
        <v>0</v>
      </c>
      <c r="Z15" s="10">
        <f t="shared" si="6"/>
        <v>0</v>
      </c>
      <c r="AA15" s="9">
        <f t="shared" si="6"/>
        <v>0</v>
      </c>
      <c r="AB15" s="9">
        <f t="shared" si="6"/>
        <v>0</v>
      </c>
      <c r="AC15" s="9">
        <f t="shared" si="6"/>
        <v>0</v>
      </c>
      <c r="AD15" s="9">
        <f t="shared" si="6"/>
        <v>0</v>
      </c>
      <c r="AE15" s="9">
        <f t="shared" si="6"/>
        <v>0</v>
      </c>
      <c r="AF15" s="10">
        <f t="shared" si="6"/>
        <v>0</v>
      </c>
      <c r="AG15" s="10">
        <f t="shared" si="6"/>
        <v>0</v>
      </c>
      <c r="AH15" s="9">
        <f t="shared" si="6"/>
        <v>0</v>
      </c>
      <c r="AI15" s="9">
        <f t="shared" si="6"/>
        <v>0</v>
      </c>
      <c r="AJ15" s="9">
        <f t="shared" si="6"/>
        <v>0</v>
      </c>
      <c r="AK15" s="9">
        <f t="shared" si="6"/>
        <v>0</v>
      </c>
      <c r="AL15" s="9">
        <f t="shared" si="6"/>
        <v>0</v>
      </c>
      <c r="AM15" s="10">
        <f t="shared" si="6"/>
        <v>0</v>
      </c>
      <c r="AN15" s="10">
        <f t="shared" si="6"/>
        <v>0</v>
      </c>
      <c r="AO15" s="9">
        <f t="shared" si="6"/>
        <v>0</v>
      </c>
      <c r="AP15" s="9">
        <f t="shared" si="6"/>
        <v>0</v>
      </c>
      <c r="AQ15" s="9">
        <f t="shared" si="6"/>
        <v>0</v>
      </c>
    </row>
    <row r="16" spans="1:43" x14ac:dyDescent="0.3">
      <c r="A16" s="24"/>
      <c r="B16" s="24"/>
      <c r="C16" s="24"/>
      <c r="D16" s="24"/>
      <c r="E16" s="24"/>
      <c r="F16" s="11" t="s">
        <v>53</v>
      </c>
      <c r="G16" s="12">
        <f>SUM($G15:G15)</f>
        <v>0</v>
      </c>
      <c r="H16" s="12">
        <f>SUM($G15:H15)</f>
        <v>0</v>
      </c>
      <c r="I16" s="12">
        <f>SUM($G15:I15)</f>
        <v>0</v>
      </c>
      <c r="J16" s="12">
        <f>SUM($G15:J15)</f>
        <v>0</v>
      </c>
      <c r="K16" s="13">
        <f>SUM($G15:K15)</f>
        <v>0</v>
      </c>
      <c r="L16" s="13">
        <f>SUM($G15:L15)</f>
        <v>0</v>
      </c>
      <c r="M16" s="12">
        <f>SUM($G15:M15)</f>
        <v>0</v>
      </c>
      <c r="N16" s="12">
        <f>SUM($G15:N15)</f>
        <v>0</v>
      </c>
      <c r="O16" s="12">
        <f>SUM($G15:O15)</f>
        <v>0</v>
      </c>
      <c r="P16" s="12">
        <f>SUM($G15:P15)</f>
        <v>0</v>
      </c>
      <c r="Q16" s="12">
        <f>SUM($G15:Q15)</f>
        <v>20</v>
      </c>
      <c r="R16" s="13">
        <f>SUM($G15:R15)</f>
        <v>20</v>
      </c>
      <c r="S16" s="13">
        <f>SUM($G15:S15)</f>
        <v>20</v>
      </c>
      <c r="T16" s="12">
        <f>SUM($G15:T15)</f>
        <v>40</v>
      </c>
      <c r="U16" s="12">
        <f>SUM($G15:U15)</f>
        <v>60</v>
      </c>
      <c r="V16" s="12">
        <f>SUM($G15:V15)</f>
        <v>80</v>
      </c>
      <c r="W16" s="12">
        <f>SUM($G15:W15)</f>
        <v>100</v>
      </c>
      <c r="X16" s="12">
        <f>SUM($G15:X15)</f>
        <v>100</v>
      </c>
      <c r="Y16" s="13">
        <f>SUM($G15:Y15)</f>
        <v>100</v>
      </c>
      <c r="Z16" s="13">
        <f>SUM($G15:Z15)</f>
        <v>100</v>
      </c>
      <c r="AA16" s="12">
        <f>SUM($G15:AA15)</f>
        <v>100</v>
      </c>
      <c r="AB16" s="12">
        <f>SUM($G15:AB15)</f>
        <v>100</v>
      </c>
      <c r="AC16" s="12">
        <f>SUM($G15:AC15)</f>
        <v>100</v>
      </c>
      <c r="AD16" s="12">
        <f>SUM($G15:AD15)</f>
        <v>100</v>
      </c>
      <c r="AE16" s="12">
        <f>SUM($G15:AE15)</f>
        <v>100</v>
      </c>
      <c r="AF16" s="13">
        <f>SUM($G15:AF15)</f>
        <v>100</v>
      </c>
      <c r="AG16" s="13">
        <f>SUM($G15:AG15)</f>
        <v>100</v>
      </c>
      <c r="AH16" s="12">
        <f>SUM($G15:AH15)</f>
        <v>100</v>
      </c>
      <c r="AI16" s="12">
        <f>SUM($G15:AI15)</f>
        <v>100</v>
      </c>
      <c r="AJ16" s="12">
        <f>SUM($G15:AJ15)</f>
        <v>100</v>
      </c>
      <c r="AK16" s="12">
        <f>SUM($G15:AK15)</f>
        <v>100</v>
      </c>
      <c r="AL16" s="12">
        <f>SUM($G15:AL15)</f>
        <v>100</v>
      </c>
      <c r="AM16" s="13">
        <f>SUM($G15:AM15)</f>
        <v>100</v>
      </c>
      <c r="AN16" s="13">
        <f>SUM($G15:AN15)</f>
        <v>100</v>
      </c>
      <c r="AO16" s="12">
        <f>SUM($G15:AO15)</f>
        <v>100</v>
      </c>
      <c r="AP16" s="12">
        <f>SUM($G15:AP15)</f>
        <v>100</v>
      </c>
      <c r="AQ16" s="12">
        <f>SUM($G15:AQ15)</f>
        <v>100</v>
      </c>
    </row>
    <row r="17" spans="1:43" x14ac:dyDescent="0.3">
      <c r="A17" s="24" t="s">
        <v>90</v>
      </c>
      <c r="B17" s="25" t="s">
        <v>60</v>
      </c>
      <c r="C17" s="23">
        <v>46279</v>
      </c>
      <c r="D17" s="23">
        <v>46293</v>
      </c>
      <c r="E17" s="24">
        <v>11</v>
      </c>
      <c r="F17" s="4" t="s">
        <v>52</v>
      </c>
      <c r="G17" s="9">
        <f t="shared" ref="G17:AQ17" si="7">IF(AND(G$2&gt;=$C17,G$2&lt;=$D17,WEEKDAY(G$2,2)&lt;=5),100/$E17,0)</f>
        <v>0</v>
      </c>
      <c r="H17" s="9">
        <f t="shared" si="7"/>
        <v>0</v>
      </c>
      <c r="I17" s="9">
        <f t="shared" si="7"/>
        <v>0</v>
      </c>
      <c r="J17" s="9">
        <f t="shared" si="7"/>
        <v>0</v>
      </c>
      <c r="K17" s="10">
        <f t="shared" si="7"/>
        <v>0</v>
      </c>
      <c r="L17" s="10">
        <f t="shared" si="7"/>
        <v>0</v>
      </c>
      <c r="M17" s="9">
        <f t="shared" si="7"/>
        <v>0</v>
      </c>
      <c r="N17" s="9">
        <f t="shared" si="7"/>
        <v>0</v>
      </c>
      <c r="O17" s="9">
        <f t="shared" si="7"/>
        <v>0</v>
      </c>
      <c r="P17" s="9">
        <f t="shared" si="7"/>
        <v>0</v>
      </c>
      <c r="Q17" s="9">
        <f t="shared" si="7"/>
        <v>0</v>
      </c>
      <c r="R17" s="10">
        <f t="shared" si="7"/>
        <v>0</v>
      </c>
      <c r="S17" s="10">
        <f t="shared" si="7"/>
        <v>0</v>
      </c>
      <c r="T17" s="9">
        <f t="shared" si="7"/>
        <v>9.0909090909090917</v>
      </c>
      <c r="U17" s="9">
        <f t="shared" si="7"/>
        <v>9.0909090909090917</v>
      </c>
      <c r="V17" s="9">
        <f t="shared" si="7"/>
        <v>9.0909090909090917</v>
      </c>
      <c r="W17" s="9">
        <f t="shared" si="7"/>
        <v>9.0909090909090917</v>
      </c>
      <c r="X17" s="9">
        <f t="shared" si="7"/>
        <v>9.0909090909090917</v>
      </c>
      <c r="Y17" s="10">
        <f t="shared" si="7"/>
        <v>0</v>
      </c>
      <c r="Z17" s="10">
        <f t="shared" si="7"/>
        <v>0</v>
      </c>
      <c r="AA17" s="9">
        <f t="shared" si="7"/>
        <v>9.0909090909090917</v>
      </c>
      <c r="AB17" s="9">
        <f t="shared" si="7"/>
        <v>9.0909090909090917</v>
      </c>
      <c r="AC17" s="9">
        <f t="shared" si="7"/>
        <v>9.0909090909090917</v>
      </c>
      <c r="AD17" s="9">
        <f t="shared" si="7"/>
        <v>9.0909090909090917</v>
      </c>
      <c r="AE17" s="9">
        <f t="shared" si="7"/>
        <v>9.0909090909090917</v>
      </c>
      <c r="AF17" s="10">
        <f t="shared" si="7"/>
        <v>0</v>
      </c>
      <c r="AG17" s="10">
        <f t="shared" si="7"/>
        <v>0</v>
      </c>
      <c r="AH17" s="9">
        <f t="shared" si="7"/>
        <v>9.0909090909090917</v>
      </c>
      <c r="AI17" s="9">
        <f t="shared" si="7"/>
        <v>0</v>
      </c>
      <c r="AJ17" s="9">
        <f t="shared" si="7"/>
        <v>0</v>
      </c>
      <c r="AK17" s="9">
        <f t="shared" si="7"/>
        <v>0</v>
      </c>
      <c r="AL17" s="9">
        <f t="shared" si="7"/>
        <v>0</v>
      </c>
      <c r="AM17" s="10">
        <f t="shared" si="7"/>
        <v>0</v>
      </c>
      <c r="AN17" s="10">
        <f t="shared" si="7"/>
        <v>0</v>
      </c>
      <c r="AO17" s="9">
        <f t="shared" si="7"/>
        <v>0</v>
      </c>
      <c r="AP17" s="9">
        <f t="shared" si="7"/>
        <v>0</v>
      </c>
      <c r="AQ17" s="9">
        <f t="shared" si="7"/>
        <v>0</v>
      </c>
    </row>
    <row r="18" spans="1:43" x14ac:dyDescent="0.3">
      <c r="A18" s="24"/>
      <c r="B18" s="24"/>
      <c r="C18" s="24"/>
      <c r="D18" s="24"/>
      <c r="E18" s="24"/>
      <c r="F18" s="11" t="s">
        <v>53</v>
      </c>
      <c r="G18" s="12">
        <f>SUM($G17:G17)</f>
        <v>0</v>
      </c>
      <c r="H18" s="12">
        <f>SUM($G17:H17)</f>
        <v>0</v>
      </c>
      <c r="I18" s="12">
        <f>SUM($G17:I17)</f>
        <v>0</v>
      </c>
      <c r="J18" s="12">
        <f>SUM($G17:J17)</f>
        <v>0</v>
      </c>
      <c r="K18" s="13">
        <f>SUM($G17:K17)</f>
        <v>0</v>
      </c>
      <c r="L18" s="13">
        <f>SUM($G17:L17)</f>
        <v>0</v>
      </c>
      <c r="M18" s="12">
        <f>SUM($G17:M17)</f>
        <v>0</v>
      </c>
      <c r="N18" s="12">
        <f>SUM($G17:N17)</f>
        <v>0</v>
      </c>
      <c r="O18" s="12">
        <f>SUM($G17:O17)</f>
        <v>0</v>
      </c>
      <c r="P18" s="12">
        <f>SUM($G17:P17)</f>
        <v>0</v>
      </c>
      <c r="Q18" s="12">
        <f>SUM($G17:Q17)</f>
        <v>0</v>
      </c>
      <c r="R18" s="13">
        <f>SUM($G17:R17)</f>
        <v>0</v>
      </c>
      <c r="S18" s="13">
        <f>SUM($G17:S17)</f>
        <v>0</v>
      </c>
      <c r="T18" s="12">
        <f>SUM($G17:T17)</f>
        <v>9.0909090909090917</v>
      </c>
      <c r="U18" s="12">
        <f>SUM($G17:U17)</f>
        <v>18.181818181818183</v>
      </c>
      <c r="V18" s="12">
        <f>SUM($G17:V17)</f>
        <v>27.272727272727273</v>
      </c>
      <c r="W18" s="12">
        <f>SUM($G17:W17)</f>
        <v>36.363636363636367</v>
      </c>
      <c r="X18" s="12">
        <f>SUM($G17:X17)</f>
        <v>45.45454545454546</v>
      </c>
      <c r="Y18" s="13">
        <f>SUM($G17:Y17)</f>
        <v>45.45454545454546</v>
      </c>
      <c r="Z18" s="13">
        <f>SUM($G17:Z17)</f>
        <v>45.45454545454546</v>
      </c>
      <c r="AA18" s="12">
        <f>SUM($G17:AA17)</f>
        <v>54.545454545454554</v>
      </c>
      <c r="AB18" s="12">
        <f>SUM($G17:AB17)</f>
        <v>63.636363636363647</v>
      </c>
      <c r="AC18" s="12">
        <f>SUM($G17:AC17)</f>
        <v>72.727272727272734</v>
      </c>
      <c r="AD18" s="12">
        <f>SUM($G17:AD17)</f>
        <v>81.818181818181827</v>
      </c>
      <c r="AE18" s="12">
        <f>SUM($G17:AE17)</f>
        <v>90.909090909090921</v>
      </c>
      <c r="AF18" s="13">
        <f>SUM($G17:AF17)</f>
        <v>90.909090909090921</v>
      </c>
      <c r="AG18" s="13">
        <f>SUM($G17:AG17)</f>
        <v>90.909090909090921</v>
      </c>
      <c r="AH18" s="12">
        <f>SUM($G17:AH17)</f>
        <v>100.00000000000001</v>
      </c>
      <c r="AI18" s="12">
        <f>SUM($G17:AI17)</f>
        <v>100.00000000000001</v>
      </c>
      <c r="AJ18" s="12">
        <f>SUM($G17:AJ17)</f>
        <v>100.00000000000001</v>
      </c>
      <c r="AK18" s="12">
        <f>SUM($G17:AK17)</f>
        <v>100.00000000000001</v>
      </c>
      <c r="AL18" s="12">
        <f>SUM($G17:AL17)</f>
        <v>100.00000000000001</v>
      </c>
      <c r="AM18" s="13">
        <f>SUM($G17:AM17)</f>
        <v>100.00000000000001</v>
      </c>
      <c r="AN18" s="13">
        <f>SUM($G17:AN17)</f>
        <v>100.00000000000001</v>
      </c>
      <c r="AO18" s="12">
        <f>SUM($G17:AO17)</f>
        <v>100.00000000000001</v>
      </c>
      <c r="AP18" s="12">
        <f>SUM($G17:AP17)</f>
        <v>100.00000000000001</v>
      </c>
      <c r="AQ18" s="12">
        <f>SUM($G17:AQ17)</f>
        <v>100.00000000000001</v>
      </c>
    </row>
    <row r="19" spans="1:43" x14ac:dyDescent="0.3">
      <c r="A19" s="21" t="s">
        <v>91</v>
      </c>
      <c r="B19" s="22" t="s">
        <v>61</v>
      </c>
      <c r="C19" s="23">
        <v>46266</v>
      </c>
      <c r="D19" s="23">
        <v>46296</v>
      </c>
      <c r="E19" s="24">
        <v>23</v>
      </c>
      <c r="F19" s="4" t="s">
        <v>52</v>
      </c>
      <c r="G19" s="9">
        <f t="shared" ref="G19:AQ19" si="8">IF(AND(G$2&gt;=$C19,G$2&lt;=$D19,WEEKDAY(G$2,2)&lt;=5),100/$E19,0)</f>
        <v>4.3478260869565215</v>
      </c>
      <c r="H19" s="9">
        <f t="shared" si="8"/>
        <v>4.3478260869565215</v>
      </c>
      <c r="I19" s="9">
        <f t="shared" si="8"/>
        <v>4.3478260869565215</v>
      </c>
      <c r="J19" s="9">
        <f t="shared" si="8"/>
        <v>4.3478260869565215</v>
      </c>
      <c r="K19" s="10">
        <f t="shared" si="8"/>
        <v>0</v>
      </c>
      <c r="L19" s="10">
        <f t="shared" si="8"/>
        <v>0</v>
      </c>
      <c r="M19" s="9">
        <f t="shared" si="8"/>
        <v>4.3478260869565215</v>
      </c>
      <c r="N19" s="9">
        <f t="shared" si="8"/>
        <v>4.3478260869565215</v>
      </c>
      <c r="O19" s="9">
        <f t="shared" si="8"/>
        <v>4.3478260869565215</v>
      </c>
      <c r="P19" s="9">
        <f t="shared" si="8"/>
        <v>4.3478260869565215</v>
      </c>
      <c r="Q19" s="9">
        <f t="shared" si="8"/>
        <v>4.3478260869565215</v>
      </c>
      <c r="R19" s="10">
        <f t="shared" si="8"/>
        <v>0</v>
      </c>
      <c r="S19" s="10">
        <f t="shared" si="8"/>
        <v>0</v>
      </c>
      <c r="T19" s="9">
        <f t="shared" si="8"/>
        <v>4.3478260869565215</v>
      </c>
      <c r="U19" s="9">
        <f t="shared" si="8"/>
        <v>4.3478260869565215</v>
      </c>
      <c r="V19" s="9">
        <f t="shared" si="8"/>
        <v>4.3478260869565215</v>
      </c>
      <c r="W19" s="9">
        <f t="shared" si="8"/>
        <v>4.3478260869565215</v>
      </c>
      <c r="X19" s="9">
        <f t="shared" si="8"/>
        <v>4.3478260869565215</v>
      </c>
      <c r="Y19" s="10">
        <f t="shared" si="8"/>
        <v>0</v>
      </c>
      <c r="Z19" s="10">
        <f t="shared" si="8"/>
        <v>0</v>
      </c>
      <c r="AA19" s="9">
        <f t="shared" si="8"/>
        <v>4.3478260869565215</v>
      </c>
      <c r="AB19" s="9">
        <f t="shared" si="8"/>
        <v>4.3478260869565215</v>
      </c>
      <c r="AC19" s="9">
        <f t="shared" si="8"/>
        <v>4.3478260869565215</v>
      </c>
      <c r="AD19" s="9">
        <f t="shared" si="8"/>
        <v>4.3478260869565215</v>
      </c>
      <c r="AE19" s="9">
        <f t="shared" si="8"/>
        <v>4.3478260869565215</v>
      </c>
      <c r="AF19" s="10">
        <f t="shared" si="8"/>
        <v>0</v>
      </c>
      <c r="AG19" s="10">
        <f t="shared" si="8"/>
        <v>0</v>
      </c>
      <c r="AH19" s="9">
        <f t="shared" si="8"/>
        <v>4.3478260869565215</v>
      </c>
      <c r="AI19" s="9">
        <f t="shared" si="8"/>
        <v>4.3478260869565215</v>
      </c>
      <c r="AJ19" s="9">
        <f t="shared" si="8"/>
        <v>4.3478260869565215</v>
      </c>
      <c r="AK19" s="9">
        <f t="shared" si="8"/>
        <v>4.3478260869565215</v>
      </c>
      <c r="AL19" s="9">
        <f t="shared" si="8"/>
        <v>0</v>
      </c>
      <c r="AM19" s="10">
        <f t="shared" si="8"/>
        <v>0</v>
      </c>
      <c r="AN19" s="10">
        <f t="shared" si="8"/>
        <v>0</v>
      </c>
      <c r="AO19" s="9">
        <f t="shared" si="8"/>
        <v>0</v>
      </c>
      <c r="AP19" s="9">
        <f t="shared" si="8"/>
        <v>0</v>
      </c>
      <c r="AQ19" s="9">
        <f t="shared" si="8"/>
        <v>0</v>
      </c>
    </row>
    <row r="20" spans="1:43" x14ac:dyDescent="0.3">
      <c r="A20" s="21"/>
      <c r="B20" s="21"/>
      <c r="C20" s="21"/>
      <c r="D20" s="21"/>
      <c r="E20" s="21"/>
      <c r="F20" s="11" t="s">
        <v>53</v>
      </c>
      <c r="G20" s="12">
        <f>SUM($G19:G19)</f>
        <v>4.3478260869565215</v>
      </c>
      <c r="H20" s="12">
        <f>SUM($G19:H19)</f>
        <v>8.695652173913043</v>
      </c>
      <c r="I20" s="12">
        <f>SUM($G19:I19)</f>
        <v>13.043478260869565</v>
      </c>
      <c r="J20" s="12">
        <f>SUM($G19:J19)</f>
        <v>17.391304347826086</v>
      </c>
      <c r="K20" s="13">
        <f>SUM($G19:K19)</f>
        <v>17.391304347826086</v>
      </c>
      <c r="L20" s="13">
        <f>SUM($G19:L19)</f>
        <v>17.391304347826086</v>
      </c>
      <c r="M20" s="12">
        <f>SUM($G19:M19)</f>
        <v>21.739130434782609</v>
      </c>
      <c r="N20" s="12">
        <f>SUM($G19:N19)</f>
        <v>26.086956521739133</v>
      </c>
      <c r="O20" s="12">
        <f>SUM($G19:O19)</f>
        <v>30.434782608695656</v>
      </c>
      <c r="P20" s="12">
        <f>SUM($G19:P19)</f>
        <v>34.782608695652179</v>
      </c>
      <c r="Q20" s="12">
        <f>SUM($G19:Q19)</f>
        <v>39.130434782608702</v>
      </c>
      <c r="R20" s="13">
        <f>SUM($G19:R19)</f>
        <v>39.130434782608702</v>
      </c>
      <c r="S20" s="13">
        <f>SUM($G19:S19)</f>
        <v>39.130434782608702</v>
      </c>
      <c r="T20" s="12">
        <f>SUM($G19:T19)</f>
        <v>43.478260869565226</v>
      </c>
      <c r="U20" s="12">
        <f>SUM($G19:U19)</f>
        <v>47.826086956521749</v>
      </c>
      <c r="V20" s="12">
        <f>SUM($G19:V19)</f>
        <v>52.173913043478272</v>
      </c>
      <c r="W20" s="12">
        <f>SUM($G19:W19)</f>
        <v>56.521739130434796</v>
      </c>
      <c r="X20" s="12">
        <f>SUM($G19:X19)</f>
        <v>60.869565217391319</v>
      </c>
      <c r="Y20" s="13">
        <f>SUM($G19:Y19)</f>
        <v>60.869565217391319</v>
      </c>
      <c r="Z20" s="13">
        <f>SUM($G19:Z19)</f>
        <v>60.869565217391319</v>
      </c>
      <c r="AA20" s="12">
        <f>SUM($G19:AA19)</f>
        <v>65.217391304347842</v>
      </c>
      <c r="AB20" s="12">
        <f>SUM($G19:AB19)</f>
        <v>69.565217391304358</v>
      </c>
      <c r="AC20" s="12">
        <f>SUM($G19:AC19)</f>
        <v>73.913043478260875</v>
      </c>
      <c r="AD20" s="12">
        <f>SUM($G19:AD19)</f>
        <v>78.260869565217391</v>
      </c>
      <c r="AE20" s="12">
        <f>SUM($G19:AE19)</f>
        <v>82.608695652173907</v>
      </c>
      <c r="AF20" s="13">
        <f>SUM($G19:AF19)</f>
        <v>82.608695652173907</v>
      </c>
      <c r="AG20" s="13">
        <f>SUM($G19:AG19)</f>
        <v>82.608695652173907</v>
      </c>
      <c r="AH20" s="12">
        <f>SUM($G19:AH19)</f>
        <v>86.956521739130423</v>
      </c>
      <c r="AI20" s="12">
        <f>SUM($G19:AI19)</f>
        <v>91.304347826086939</v>
      </c>
      <c r="AJ20" s="12">
        <f>SUM($G19:AJ19)</f>
        <v>95.652173913043455</v>
      </c>
      <c r="AK20" s="12">
        <f>SUM($G19:AK19)</f>
        <v>99.999999999999972</v>
      </c>
      <c r="AL20" s="12">
        <f>SUM($G19:AL19)</f>
        <v>99.999999999999972</v>
      </c>
      <c r="AM20" s="13">
        <f>SUM($G19:AM19)</f>
        <v>99.999999999999972</v>
      </c>
      <c r="AN20" s="13">
        <f>SUM($G19:AN19)</f>
        <v>99.999999999999972</v>
      </c>
      <c r="AO20" s="12">
        <f>SUM($G19:AO19)</f>
        <v>99.999999999999972</v>
      </c>
      <c r="AP20" s="12">
        <f>SUM($G19:AP19)</f>
        <v>99.999999999999972</v>
      </c>
      <c r="AQ20" s="12">
        <f>SUM($G19:AQ19)</f>
        <v>99.999999999999972</v>
      </c>
    </row>
    <row r="21" spans="1:43" x14ac:dyDescent="0.3">
      <c r="A21" s="24" t="s">
        <v>92</v>
      </c>
      <c r="B21" s="25" t="s">
        <v>62</v>
      </c>
      <c r="C21" s="23">
        <v>46286</v>
      </c>
      <c r="D21" s="23">
        <v>46294</v>
      </c>
      <c r="E21" s="24">
        <v>7</v>
      </c>
      <c r="F21" s="4" t="s">
        <v>52</v>
      </c>
      <c r="G21" s="9">
        <f t="shared" ref="G21:AQ21" si="9">IF(AND(G$2&gt;=$C21,G$2&lt;=$D21,WEEKDAY(G$2,2)&lt;=5),100/$E21,0)</f>
        <v>0</v>
      </c>
      <c r="H21" s="9">
        <f t="shared" si="9"/>
        <v>0</v>
      </c>
      <c r="I21" s="9">
        <f t="shared" si="9"/>
        <v>0</v>
      </c>
      <c r="J21" s="9">
        <f t="shared" si="9"/>
        <v>0</v>
      </c>
      <c r="K21" s="10">
        <f t="shared" si="9"/>
        <v>0</v>
      </c>
      <c r="L21" s="10">
        <f t="shared" si="9"/>
        <v>0</v>
      </c>
      <c r="M21" s="9">
        <f t="shared" si="9"/>
        <v>0</v>
      </c>
      <c r="N21" s="9">
        <f t="shared" si="9"/>
        <v>0</v>
      </c>
      <c r="O21" s="9">
        <f t="shared" si="9"/>
        <v>0</v>
      </c>
      <c r="P21" s="9">
        <f t="shared" si="9"/>
        <v>0</v>
      </c>
      <c r="Q21" s="9">
        <f t="shared" si="9"/>
        <v>0</v>
      </c>
      <c r="R21" s="10">
        <f t="shared" si="9"/>
        <v>0</v>
      </c>
      <c r="S21" s="10">
        <f t="shared" si="9"/>
        <v>0</v>
      </c>
      <c r="T21" s="9">
        <f t="shared" si="9"/>
        <v>0</v>
      </c>
      <c r="U21" s="9">
        <f t="shared" si="9"/>
        <v>0</v>
      </c>
      <c r="V21" s="9">
        <f t="shared" si="9"/>
        <v>0</v>
      </c>
      <c r="W21" s="9">
        <f t="shared" si="9"/>
        <v>0</v>
      </c>
      <c r="X21" s="9">
        <f t="shared" si="9"/>
        <v>0</v>
      </c>
      <c r="Y21" s="10">
        <f t="shared" si="9"/>
        <v>0</v>
      </c>
      <c r="Z21" s="10">
        <f t="shared" si="9"/>
        <v>0</v>
      </c>
      <c r="AA21" s="9">
        <f t="shared" si="9"/>
        <v>14.285714285714286</v>
      </c>
      <c r="AB21" s="9">
        <f t="shared" si="9"/>
        <v>14.285714285714286</v>
      </c>
      <c r="AC21" s="9">
        <f t="shared" si="9"/>
        <v>14.285714285714286</v>
      </c>
      <c r="AD21" s="9">
        <f t="shared" si="9"/>
        <v>14.285714285714286</v>
      </c>
      <c r="AE21" s="9">
        <f t="shared" si="9"/>
        <v>14.285714285714286</v>
      </c>
      <c r="AF21" s="10">
        <f t="shared" si="9"/>
        <v>0</v>
      </c>
      <c r="AG21" s="10">
        <f t="shared" si="9"/>
        <v>0</v>
      </c>
      <c r="AH21" s="9">
        <f t="shared" si="9"/>
        <v>14.285714285714286</v>
      </c>
      <c r="AI21" s="9">
        <f t="shared" si="9"/>
        <v>14.285714285714286</v>
      </c>
      <c r="AJ21" s="9">
        <f t="shared" si="9"/>
        <v>0</v>
      </c>
      <c r="AK21" s="9">
        <f t="shared" si="9"/>
        <v>0</v>
      </c>
      <c r="AL21" s="9">
        <f t="shared" si="9"/>
        <v>0</v>
      </c>
      <c r="AM21" s="10">
        <f t="shared" si="9"/>
        <v>0</v>
      </c>
      <c r="AN21" s="10">
        <f t="shared" si="9"/>
        <v>0</v>
      </c>
      <c r="AO21" s="9">
        <f t="shared" si="9"/>
        <v>0</v>
      </c>
      <c r="AP21" s="9">
        <f t="shared" si="9"/>
        <v>0</v>
      </c>
      <c r="AQ21" s="9">
        <f t="shared" si="9"/>
        <v>0</v>
      </c>
    </row>
    <row r="22" spans="1:43" x14ac:dyDescent="0.3">
      <c r="A22" s="24"/>
      <c r="B22" s="24"/>
      <c r="C22" s="24"/>
      <c r="D22" s="24"/>
      <c r="E22" s="24"/>
      <c r="F22" s="11" t="s">
        <v>53</v>
      </c>
      <c r="G22" s="12">
        <f>SUM($G21:G21)</f>
        <v>0</v>
      </c>
      <c r="H22" s="12">
        <f>SUM($G21:H21)</f>
        <v>0</v>
      </c>
      <c r="I22" s="12">
        <f>SUM($G21:I21)</f>
        <v>0</v>
      </c>
      <c r="J22" s="12">
        <f>SUM($G21:J21)</f>
        <v>0</v>
      </c>
      <c r="K22" s="13">
        <f>SUM($G21:K21)</f>
        <v>0</v>
      </c>
      <c r="L22" s="13">
        <f>SUM($G21:L21)</f>
        <v>0</v>
      </c>
      <c r="M22" s="12">
        <f>SUM($G21:M21)</f>
        <v>0</v>
      </c>
      <c r="N22" s="12">
        <f>SUM($G21:N21)</f>
        <v>0</v>
      </c>
      <c r="O22" s="12">
        <f>SUM($G21:O21)</f>
        <v>0</v>
      </c>
      <c r="P22" s="12">
        <f>SUM($G21:P21)</f>
        <v>0</v>
      </c>
      <c r="Q22" s="12">
        <f>SUM($G21:Q21)</f>
        <v>0</v>
      </c>
      <c r="R22" s="13">
        <f>SUM($G21:R21)</f>
        <v>0</v>
      </c>
      <c r="S22" s="13">
        <f>SUM($G21:S21)</f>
        <v>0</v>
      </c>
      <c r="T22" s="12">
        <f>SUM($G21:T21)</f>
        <v>0</v>
      </c>
      <c r="U22" s="12">
        <f>SUM($G21:U21)</f>
        <v>0</v>
      </c>
      <c r="V22" s="12">
        <f>SUM($G21:V21)</f>
        <v>0</v>
      </c>
      <c r="W22" s="12">
        <f>SUM($G21:W21)</f>
        <v>0</v>
      </c>
      <c r="X22" s="12">
        <f>SUM($G21:X21)</f>
        <v>0</v>
      </c>
      <c r="Y22" s="13">
        <f>SUM($G21:Y21)</f>
        <v>0</v>
      </c>
      <c r="Z22" s="13">
        <f>SUM($G21:Z21)</f>
        <v>0</v>
      </c>
      <c r="AA22" s="12">
        <f>SUM($G21:AA21)</f>
        <v>14.285714285714286</v>
      </c>
      <c r="AB22" s="12">
        <f>SUM($G21:AB21)</f>
        <v>28.571428571428573</v>
      </c>
      <c r="AC22" s="12">
        <f>SUM($G21:AC21)</f>
        <v>42.857142857142861</v>
      </c>
      <c r="AD22" s="12">
        <f>SUM($G21:AD21)</f>
        <v>57.142857142857146</v>
      </c>
      <c r="AE22" s="12">
        <f>SUM($G21:AE21)</f>
        <v>71.428571428571431</v>
      </c>
      <c r="AF22" s="13">
        <f>SUM($G21:AF21)</f>
        <v>71.428571428571431</v>
      </c>
      <c r="AG22" s="13">
        <f>SUM($G21:AG21)</f>
        <v>71.428571428571431</v>
      </c>
      <c r="AH22" s="12">
        <f>SUM($G21:AH21)</f>
        <v>85.714285714285722</v>
      </c>
      <c r="AI22" s="12">
        <f>SUM($G21:AI21)</f>
        <v>100.00000000000001</v>
      </c>
      <c r="AJ22" s="12">
        <f>SUM($G21:AJ21)</f>
        <v>100.00000000000001</v>
      </c>
      <c r="AK22" s="12">
        <f>SUM($G21:AK21)</f>
        <v>100.00000000000001</v>
      </c>
      <c r="AL22" s="12">
        <f>SUM($G21:AL21)</f>
        <v>100.00000000000001</v>
      </c>
      <c r="AM22" s="13">
        <f>SUM($G21:AM21)</f>
        <v>100.00000000000001</v>
      </c>
      <c r="AN22" s="13">
        <f>SUM($G21:AN21)</f>
        <v>100.00000000000001</v>
      </c>
      <c r="AO22" s="12">
        <f>SUM($G21:AO21)</f>
        <v>100.00000000000001</v>
      </c>
      <c r="AP22" s="12">
        <f>SUM($G21:AP21)</f>
        <v>100.00000000000001</v>
      </c>
      <c r="AQ22" s="12">
        <f>SUM($G21:AQ21)</f>
        <v>100.00000000000001</v>
      </c>
    </row>
    <row r="23" spans="1:43" x14ac:dyDescent="0.3">
      <c r="A23" s="24" t="s">
        <v>93</v>
      </c>
      <c r="B23" s="25" t="s">
        <v>63</v>
      </c>
      <c r="C23" s="23">
        <v>46286</v>
      </c>
      <c r="D23" s="23">
        <v>46290</v>
      </c>
      <c r="E23" s="24">
        <v>5</v>
      </c>
      <c r="F23" s="4" t="s">
        <v>52</v>
      </c>
      <c r="G23" s="9">
        <f t="shared" ref="G23:AQ23" si="10">IF(AND(G$2&gt;=$C23,G$2&lt;=$D23,WEEKDAY(G$2,2)&lt;=5),100/$E23,0)</f>
        <v>0</v>
      </c>
      <c r="H23" s="9">
        <f t="shared" si="10"/>
        <v>0</v>
      </c>
      <c r="I23" s="9">
        <f t="shared" si="10"/>
        <v>0</v>
      </c>
      <c r="J23" s="9">
        <f t="shared" si="10"/>
        <v>0</v>
      </c>
      <c r="K23" s="10">
        <f t="shared" si="10"/>
        <v>0</v>
      </c>
      <c r="L23" s="10">
        <f t="shared" si="10"/>
        <v>0</v>
      </c>
      <c r="M23" s="9">
        <f t="shared" si="10"/>
        <v>0</v>
      </c>
      <c r="N23" s="9">
        <f t="shared" si="10"/>
        <v>0</v>
      </c>
      <c r="O23" s="9">
        <f t="shared" si="10"/>
        <v>0</v>
      </c>
      <c r="P23" s="9">
        <f t="shared" si="10"/>
        <v>0</v>
      </c>
      <c r="Q23" s="9">
        <f t="shared" si="10"/>
        <v>0</v>
      </c>
      <c r="R23" s="10">
        <f t="shared" si="10"/>
        <v>0</v>
      </c>
      <c r="S23" s="10">
        <f t="shared" si="10"/>
        <v>0</v>
      </c>
      <c r="T23" s="9">
        <f t="shared" si="10"/>
        <v>0</v>
      </c>
      <c r="U23" s="9">
        <f t="shared" si="10"/>
        <v>0</v>
      </c>
      <c r="V23" s="9">
        <f t="shared" si="10"/>
        <v>0</v>
      </c>
      <c r="W23" s="9">
        <f t="shared" si="10"/>
        <v>0</v>
      </c>
      <c r="X23" s="9">
        <f t="shared" si="10"/>
        <v>0</v>
      </c>
      <c r="Y23" s="10">
        <f t="shared" si="10"/>
        <v>0</v>
      </c>
      <c r="Z23" s="10">
        <f t="shared" si="10"/>
        <v>0</v>
      </c>
      <c r="AA23" s="9">
        <f t="shared" si="10"/>
        <v>20</v>
      </c>
      <c r="AB23" s="9">
        <f t="shared" si="10"/>
        <v>20</v>
      </c>
      <c r="AC23" s="9">
        <f t="shared" si="10"/>
        <v>20</v>
      </c>
      <c r="AD23" s="9">
        <f t="shared" si="10"/>
        <v>20</v>
      </c>
      <c r="AE23" s="9">
        <f t="shared" si="10"/>
        <v>20</v>
      </c>
      <c r="AF23" s="10">
        <f t="shared" si="10"/>
        <v>0</v>
      </c>
      <c r="AG23" s="10">
        <f t="shared" si="10"/>
        <v>0</v>
      </c>
      <c r="AH23" s="9">
        <f t="shared" si="10"/>
        <v>0</v>
      </c>
      <c r="AI23" s="9">
        <f t="shared" si="10"/>
        <v>0</v>
      </c>
      <c r="AJ23" s="9">
        <f t="shared" si="10"/>
        <v>0</v>
      </c>
      <c r="AK23" s="9">
        <f t="shared" si="10"/>
        <v>0</v>
      </c>
      <c r="AL23" s="9">
        <f t="shared" si="10"/>
        <v>0</v>
      </c>
      <c r="AM23" s="10">
        <f t="shared" si="10"/>
        <v>0</v>
      </c>
      <c r="AN23" s="10">
        <f t="shared" si="10"/>
        <v>0</v>
      </c>
      <c r="AO23" s="9">
        <f t="shared" si="10"/>
        <v>0</v>
      </c>
      <c r="AP23" s="9">
        <f t="shared" si="10"/>
        <v>0</v>
      </c>
      <c r="AQ23" s="9">
        <f t="shared" si="10"/>
        <v>0</v>
      </c>
    </row>
    <row r="24" spans="1:43" x14ac:dyDescent="0.3">
      <c r="A24" s="24"/>
      <c r="B24" s="24"/>
      <c r="C24" s="24"/>
      <c r="D24" s="24"/>
      <c r="E24" s="24"/>
      <c r="F24" s="11" t="s">
        <v>53</v>
      </c>
      <c r="G24" s="12">
        <f>SUM($G23:G23)</f>
        <v>0</v>
      </c>
      <c r="H24" s="12">
        <f>SUM($G23:H23)</f>
        <v>0</v>
      </c>
      <c r="I24" s="12">
        <f>SUM($G23:I23)</f>
        <v>0</v>
      </c>
      <c r="J24" s="12">
        <f>SUM($G23:J23)</f>
        <v>0</v>
      </c>
      <c r="K24" s="13">
        <f>SUM($G23:K23)</f>
        <v>0</v>
      </c>
      <c r="L24" s="13">
        <f>SUM($G23:L23)</f>
        <v>0</v>
      </c>
      <c r="M24" s="12">
        <f>SUM($G23:M23)</f>
        <v>0</v>
      </c>
      <c r="N24" s="12">
        <f>SUM($G23:N23)</f>
        <v>0</v>
      </c>
      <c r="O24" s="12">
        <f>SUM($G23:O23)</f>
        <v>0</v>
      </c>
      <c r="P24" s="12">
        <f>SUM($G23:P23)</f>
        <v>0</v>
      </c>
      <c r="Q24" s="12">
        <f>SUM($G23:Q23)</f>
        <v>0</v>
      </c>
      <c r="R24" s="13">
        <f>SUM($G23:R23)</f>
        <v>0</v>
      </c>
      <c r="S24" s="13">
        <f>SUM($G23:S23)</f>
        <v>0</v>
      </c>
      <c r="T24" s="12">
        <f>SUM($G23:T23)</f>
        <v>0</v>
      </c>
      <c r="U24" s="12">
        <f>SUM($G23:U23)</f>
        <v>0</v>
      </c>
      <c r="V24" s="12">
        <f>SUM($G23:V23)</f>
        <v>0</v>
      </c>
      <c r="W24" s="12">
        <f>SUM($G23:W23)</f>
        <v>0</v>
      </c>
      <c r="X24" s="12">
        <f>SUM($G23:X23)</f>
        <v>0</v>
      </c>
      <c r="Y24" s="13">
        <f>SUM($G23:Y23)</f>
        <v>0</v>
      </c>
      <c r="Z24" s="13">
        <f>SUM($G23:Z23)</f>
        <v>0</v>
      </c>
      <c r="AA24" s="12">
        <f>SUM($G23:AA23)</f>
        <v>20</v>
      </c>
      <c r="AB24" s="12">
        <f>SUM($G23:AB23)</f>
        <v>40</v>
      </c>
      <c r="AC24" s="12">
        <f>SUM($G23:AC23)</f>
        <v>60</v>
      </c>
      <c r="AD24" s="12">
        <f>SUM($G23:AD23)</f>
        <v>80</v>
      </c>
      <c r="AE24" s="12">
        <f>SUM($G23:AE23)</f>
        <v>100</v>
      </c>
      <c r="AF24" s="13">
        <f>SUM($G23:AF23)</f>
        <v>100</v>
      </c>
      <c r="AG24" s="13">
        <f>SUM($G23:AG23)</f>
        <v>100</v>
      </c>
      <c r="AH24" s="12">
        <f>SUM($G23:AH23)</f>
        <v>100</v>
      </c>
      <c r="AI24" s="12">
        <f>SUM($G23:AI23)</f>
        <v>100</v>
      </c>
      <c r="AJ24" s="12">
        <f>SUM($G23:AJ23)</f>
        <v>100</v>
      </c>
      <c r="AK24" s="12">
        <f>SUM($G23:AK23)</f>
        <v>100</v>
      </c>
      <c r="AL24" s="12">
        <f>SUM($G23:AL23)</f>
        <v>100</v>
      </c>
      <c r="AM24" s="13">
        <f>SUM($G23:AM23)</f>
        <v>100</v>
      </c>
      <c r="AN24" s="13">
        <f>SUM($G23:AN23)</f>
        <v>100</v>
      </c>
      <c r="AO24" s="12">
        <f>SUM($G23:AO23)</f>
        <v>100</v>
      </c>
      <c r="AP24" s="12">
        <f>SUM($G23:AP23)</f>
        <v>100</v>
      </c>
      <c r="AQ24" s="12">
        <f>SUM($G23:AQ23)</f>
        <v>100</v>
      </c>
    </row>
    <row r="25" spans="1:43" x14ac:dyDescent="0.3">
      <c r="A25" s="24" t="s">
        <v>94</v>
      </c>
      <c r="B25" s="25" t="s">
        <v>64</v>
      </c>
      <c r="C25" s="23">
        <v>46266</v>
      </c>
      <c r="D25" s="23">
        <v>46276</v>
      </c>
      <c r="E25" s="24">
        <v>9</v>
      </c>
      <c r="F25" s="4" t="s">
        <v>52</v>
      </c>
      <c r="G25" s="9">
        <f t="shared" ref="G25:AQ25" si="11">IF(AND(G$2&gt;=$C25,G$2&lt;=$D25,WEEKDAY(G$2,2)&lt;=5),100/$E25,0)</f>
        <v>11.111111111111111</v>
      </c>
      <c r="H25" s="9">
        <f t="shared" si="11"/>
        <v>11.111111111111111</v>
      </c>
      <c r="I25" s="9">
        <f t="shared" si="11"/>
        <v>11.111111111111111</v>
      </c>
      <c r="J25" s="9">
        <f t="shared" si="11"/>
        <v>11.111111111111111</v>
      </c>
      <c r="K25" s="10">
        <f t="shared" si="11"/>
        <v>0</v>
      </c>
      <c r="L25" s="10">
        <f t="shared" si="11"/>
        <v>0</v>
      </c>
      <c r="M25" s="9">
        <f t="shared" si="11"/>
        <v>11.111111111111111</v>
      </c>
      <c r="N25" s="9">
        <f t="shared" si="11"/>
        <v>11.111111111111111</v>
      </c>
      <c r="O25" s="9">
        <f t="shared" si="11"/>
        <v>11.111111111111111</v>
      </c>
      <c r="P25" s="9">
        <f t="shared" si="11"/>
        <v>11.111111111111111</v>
      </c>
      <c r="Q25" s="9">
        <f t="shared" si="11"/>
        <v>11.111111111111111</v>
      </c>
      <c r="R25" s="10">
        <f t="shared" si="11"/>
        <v>0</v>
      </c>
      <c r="S25" s="10">
        <f t="shared" si="11"/>
        <v>0</v>
      </c>
      <c r="T25" s="9">
        <f t="shared" si="11"/>
        <v>0</v>
      </c>
      <c r="U25" s="9">
        <f t="shared" si="11"/>
        <v>0</v>
      </c>
      <c r="V25" s="9">
        <f t="shared" si="11"/>
        <v>0</v>
      </c>
      <c r="W25" s="9">
        <f t="shared" si="11"/>
        <v>0</v>
      </c>
      <c r="X25" s="9">
        <f t="shared" si="11"/>
        <v>0</v>
      </c>
      <c r="Y25" s="10">
        <f t="shared" si="11"/>
        <v>0</v>
      </c>
      <c r="Z25" s="10">
        <f t="shared" si="11"/>
        <v>0</v>
      </c>
      <c r="AA25" s="9">
        <f t="shared" si="11"/>
        <v>0</v>
      </c>
      <c r="AB25" s="9">
        <f t="shared" si="11"/>
        <v>0</v>
      </c>
      <c r="AC25" s="9">
        <f t="shared" si="11"/>
        <v>0</v>
      </c>
      <c r="AD25" s="9">
        <f t="shared" si="11"/>
        <v>0</v>
      </c>
      <c r="AE25" s="9">
        <f t="shared" si="11"/>
        <v>0</v>
      </c>
      <c r="AF25" s="10">
        <f t="shared" si="11"/>
        <v>0</v>
      </c>
      <c r="AG25" s="10">
        <f t="shared" si="11"/>
        <v>0</v>
      </c>
      <c r="AH25" s="9">
        <f t="shared" si="11"/>
        <v>0</v>
      </c>
      <c r="AI25" s="9">
        <f t="shared" si="11"/>
        <v>0</v>
      </c>
      <c r="AJ25" s="9">
        <f t="shared" si="11"/>
        <v>0</v>
      </c>
      <c r="AK25" s="9">
        <f t="shared" si="11"/>
        <v>0</v>
      </c>
      <c r="AL25" s="9">
        <f t="shared" si="11"/>
        <v>0</v>
      </c>
      <c r="AM25" s="10">
        <f t="shared" si="11"/>
        <v>0</v>
      </c>
      <c r="AN25" s="10">
        <f t="shared" si="11"/>
        <v>0</v>
      </c>
      <c r="AO25" s="9">
        <f t="shared" si="11"/>
        <v>0</v>
      </c>
      <c r="AP25" s="9">
        <f t="shared" si="11"/>
        <v>0</v>
      </c>
      <c r="AQ25" s="9">
        <f t="shared" si="11"/>
        <v>0</v>
      </c>
    </row>
    <row r="26" spans="1:43" x14ac:dyDescent="0.3">
      <c r="A26" s="24"/>
      <c r="B26" s="24"/>
      <c r="C26" s="24"/>
      <c r="D26" s="24"/>
      <c r="E26" s="24"/>
      <c r="F26" s="11" t="s">
        <v>53</v>
      </c>
      <c r="G26" s="12">
        <f>SUM($G25:G25)</f>
        <v>11.111111111111111</v>
      </c>
      <c r="H26" s="12">
        <f>SUM($G25:H25)</f>
        <v>22.222222222222221</v>
      </c>
      <c r="I26" s="12">
        <f>SUM($G25:I25)</f>
        <v>33.333333333333329</v>
      </c>
      <c r="J26" s="12">
        <f>SUM($G25:J25)</f>
        <v>44.444444444444443</v>
      </c>
      <c r="K26" s="13">
        <f>SUM($G25:K25)</f>
        <v>44.444444444444443</v>
      </c>
      <c r="L26" s="13">
        <f>SUM($G25:L25)</f>
        <v>44.444444444444443</v>
      </c>
      <c r="M26" s="12">
        <f>SUM($G25:M25)</f>
        <v>55.555555555555557</v>
      </c>
      <c r="N26" s="12">
        <f>SUM($G25:N25)</f>
        <v>66.666666666666671</v>
      </c>
      <c r="O26" s="12">
        <f>SUM($G25:O25)</f>
        <v>77.777777777777786</v>
      </c>
      <c r="P26" s="12">
        <f>SUM($G25:P25)</f>
        <v>88.8888888888889</v>
      </c>
      <c r="Q26" s="12">
        <f>SUM($G25:Q25)</f>
        <v>100.00000000000001</v>
      </c>
      <c r="R26" s="13">
        <f>SUM($G25:R25)</f>
        <v>100.00000000000001</v>
      </c>
      <c r="S26" s="13">
        <f>SUM($G25:S25)</f>
        <v>100.00000000000001</v>
      </c>
      <c r="T26" s="12">
        <f>SUM($G25:T25)</f>
        <v>100.00000000000001</v>
      </c>
      <c r="U26" s="12">
        <f>SUM($G25:U25)</f>
        <v>100.00000000000001</v>
      </c>
      <c r="V26" s="12">
        <f>SUM($G25:V25)</f>
        <v>100.00000000000001</v>
      </c>
      <c r="W26" s="12">
        <f>SUM($G25:W25)</f>
        <v>100.00000000000001</v>
      </c>
      <c r="X26" s="12">
        <f>SUM($G25:X25)</f>
        <v>100.00000000000001</v>
      </c>
      <c r="Y26" s="13">
        <f>SUM($G25:Y25)</f>
        <v>100.00000000000001</v>
      </c>
      <c r="Z26" s="13">
        <f>SUM($G25:Z25)</f>
        <v>100.00000000000001</v>
      </c>
      <c r="AA26" s="12">
        <f>SUM($G25:AA25)</f>
        <v>100.00000000000001</v>
      </c>
      <c r="AB26" s="12">
        <f>SUM($G25:AB25)</f>
        <v>100.00000000000001</v>
      </c>
      <c r="AC26" s="12">
        <f>SUM($G25:AC25)</f>
        <v>100.00000000000001</v>
      </c>
      <c r="AD26" s="12">
        <f>SUM($G25:AD25)</f>
        <v>100.00000000000001</v>
      </c>
      <c r="AE26" s="12">
        <f>SUM($G25:AE25)</f>
        <v>100.00000000000001</v>
      </c>
      <c r="AF26" s="13">
        <f>SUM($G25:AF25)</f>
        <v>100.00000000000001</v>
      </c>
      <c r="AG26" s="13">
        <f>SUM($G25:AG25)</f>
        <v>100.00000000000001</v>
      </c>
      <c r="AH26" s="12">
        <f>SUM($G25:AH25)</f>
        <v>100.00000000000001</v>
      </c>
      <c r="AI26" s="12">
        <f>SUM($G25:AI25)</f>
        <v>100.00000000000001</v>
      </c>
      <c r="AJ26" s="12">
        <f>SUM($G25:AJ25)</f>
        <v>100.00000000000001</v>
      </c>
      <c r="AK26" s="12">
        <f>SUM($G25:AK25)</f>
        <v>100.00000000000001</v>
      </c>
      <c r="AL26" s="12">
        <f>SUM($G25:AL25)</f>
        <v>100.00000000000001</v>
      </c>
      <c r="AM26" s="13">
        <f>SUM($G25:AM25)</f>
        <v>100.00000000000001</v>
      </c>
      <c r="AN26" s="13">
        <f>SUM($G25:AN25)</f>
        <v>100.00000000000001</v>
      </c>
      <c r="AO26" s="12">
        <f>SUM($G25:AO25)</f>
        <v>100.00000000000001</v>
      </c>
      <c r="AP26" s="12">
        <f>SUM($G25:AP25)</f>
        <v>100.00000000000001</v>
      </c>
      <c r="AQ26" s="12">
        <f>SUM($G25:AQ25)</f>
        <v>100.00000000000001</v>
      </c>
    </row>
    <row r="27" spans="1:43" x14ac:dyDescent="0.3">
      <c r="A27" s="24" t="s">
        <v>95</v>
      </c>
      <c r="B27" s="25" t="s">
        <v>65</v>
      </c>
      <c r="C27" s="23">
        <v>46279</v>
      </c>
      <c r="D27" s="23">
        <v>46289</v>
      </c>
      <c r="E27" s="24">
        <v>9</v>
      </c>
      <c r="F27" s="4" t="s">
        <v>52</v>
      </c>
      <c r="G27" s="9">
        <f t="shared" ref="G27:AQ27" si="12">IF(AND(G$2&gt;=$C27,G$2&lt;=$D27,WEEKDAY(G$2,2)&lt;=5),100/$E27,0)</f>
        <v>0</v>
      </c>
      <c r="H27" s="9">
        <f t="shared" si="12"/>
        <v>0</v>
      </c>
      <c r="I27" s="9">
        <f t="shared" si="12"/>
        <v>0</v>
      </c>
      <c r="J27" s="9">
        <f t="shared" si="12"/>
        <v>0</v>
      </c>
      <c r="K27" s="10">
        <f t="shared" si="12"/>
        <v>0</v>
      </c>
      <c r="L27" s="10">
        <f t="shared" si="12"/>
        <v>0</v>
      </c>
      <c r="M27" s="9">
        <f t="shared" si="12"/>
        <v>0</v>
      </c>
      <c r="N27" s="9">
        <f t="shared" si="12"/>
        <v>0</v>
      </c>
      <c r="O27" s="9">
        <f t="shared" si="12"/>
        <v>0</v>
      </c>
      <c r="P27" s="9">
        <f t="shared" si="12"/>
        <v>0</v>
      </c>
      <c r="Q27" s="9">
        <f t="shared" si="12"/>
        <v>0</v>
      </c>
      <c r="R27" s="10">
        <f t="shared" si="12"/>
        <v>0</v>
      </c>
      <c r="S27" s="10">
        <f t="shared" si="12"/>
        <v>0</v>
      </c>
      <c r="T27" s="9">
        <f t="shared" si="12"/>
        <v>11.111111111111111</v>
      </c>
      <c r="U27" s="9">
        <f t="shared" si="12"/>
        <v>11.111111111111111</v>
      </c>
      <c r="V27" s="9">
        <f t="shared" si="12"/>
        <v>11.111111111111111</v>
      </c>
      <c r="W27" s="9">
        <f t="shared" si="12"/>
        <v>11.111111111111111</v>
      </c>
      <c r="X27" s="9">
        <f t="shared" si="12"/>
        <v>11.111111111111111</v>
      </c>
      <c r="Y27" s="10">
        <f t="shared" si="12"/>
        <v>0</v>
      </c>
      <c r="Z27" s="10">
        <f t="shared" si="12"/>
        <v>0</v>
      </c>
      <c r="AA27" s="9">
        <f t="shared" si="12"/>
        <v>11.111111111111111</v>
      </c>
      <c r="AB27" s="9">
        <f t="shared" si="12"/>
        <v>11.111111111111111</v>
      </c>
      <c r="AC27" s="9">
        <f t="shared" si="12"/>
        <v>11.111111111111111</v>
      </c>
      <c r="AD27" s="9">
        <f t="shared" si="12"/>
        <v>11.111111111111111</v>
      </c>
      <c r="AE27" s="9">
        <f t="shared" si="12"/>
        <v>0</v>
      </c>
      <c r="AF27" s="10">
        <f t="shared" si="12"/>
        <v>0</v>
      </c>
      <c r="AG27" s="10">
        <f t="shared" si="12"/>
        <v>0</v>
      </c>
      <c r="AH27" s="9">
        <f t="shared" si="12"/>
        <v>0</v>
      </c>
      <c r="AI27" s="9">
        <f t="shared" si="12"/>
        <v>0</v>
      </c>
      <c r="AJ27" s="9">
        <f t="shared" si="12"/>
        <v>0</v>
      </c>
      <c r="AK27" s="9">
        <f t="shared" si="12"/>
        <v>0</v>
      </c>
      <c r="AL27" s="9">
        <f t="shared" si="12"/>
        <v>0</v>
      </c>
      <c r="AM27" s="10">
        <f t="shared" si="12"/>
        <v>0</v>
      </c>
      <c r="AN27" s="10">
        <f t="shared" si="12"/>
        <v>0</v>
      </c>
      <c r="AO27" s="9">
        <f t="shared" si="12"/>
        <v>0</v>
      </c>
      <c r="AP27" s="9">
        <f t="shared" si="12"/>
        <v>0</v>
      </c>
      <c r="AQ27" s="9">
        <f t="shared" si="12"/>
        <v>0</v>
      </c>
    </row>
    <row r="28" spans="1:43" x14ac:dyDescent="0.3">
      <c r="A28" s="24"/>
      <c r="B28" s="24"/>
      <c r="C28" s="24"/>
      <c r="D28" s="24"/>
      <c r="E28" s="24"/>
      <c r="F28" s="11" t="s">
        <v>53</v>
      </c>
      <c r="G28" s="12">
        <f>SUM($G27:G27)</f>
        <v>0</v>
      </c>
      <c r="H28" s="12">
        <f>SUM($G27:H27)</f>
        <v>0</v>
      </c>
      <c r="I28" s="12">
        <f>SUM($G27:I27)</f>
        <v>0</v>
      </c>
      <c r="J28" s="12">
        <f>SUM($G27:J27)</f>
        <v>0</v>
      </c>
      <c r="K28" s="13">
        <f>SUM($G27:K27)</f>
        <v>0</v>
      </c>
      <c r="L28" s="13">
        <f>SUM($G27:L27)</f>
        <v>0</v>
      </c>
      <c r="M28" s="12">
        <f>SUM($G27:M27)</f>
        <v>0</v>
      </c>
      <c r="N28" s="12">
        <f>SUM($G27:N27)</f>
        <v>0</v>
      </c>
      <c r="O28" s="12">
        <f>SUM($G27:O27)</f>
        <v>0</v>
      </c>
      <c r="P28" s="12">
        <f>SUM($G27:P27)</f>
        <v>0</v>
      </c>
      <c r="Q28" s="12">
        <f>SUM($G27:Q27)</f>
        <v>0</v>
      </c>
      <c r="R28" s="13">
        <f>SUM($G27:R27)</f>
        <v>0</v>
      </c>
      <c r="S28" s="13">
        <f>SUM($G27:S27)</f>
        <v>0</v>
      </c>
      <c r="T28" s="12">
        <f>SUM($G27:T27)</f>
        <v>11.111111111111111</v>
      </c>
      <c r="U28" s="12">
        <f>SUM($G27:U27)</f>
        <v>22.222222222222221</v>
      </c>
      <c r="V28" s="12">
        <f>SUM($G27:V27)</f>
        <v>33.333333333333329</v>
      </c>
      <c r="W28" s="12">
        <f>SUM($G27:W27)</f>
        <v>44.444444444444443</v>
      </c>
      <c r="X28" s="12">
        <f>SUM($G27:X27)</f>
        <v>55.555555555555557</v>
      </c>
      <c r="Y28" s="13">
        <f>SUM($G27:Y27)</f>
        <v>55.555555555555557</v>
      </c>
      <c r="Z28" s="13">
        <f>SUM($G27:Z27)</f>
        <v>55.555555555555557</v>
      </c>
      <c r="AA28" s="12">
        <f>SUM($G27:AA27)</f>
        <v>66.666666666666671</v>
      </c>
      <c r="AB28" s="12">
        <f>SUM($G27:AB27)</f>
        <v>77.777777777777786</v>
      </c>
      <c r="AC28" s="12">
        <f>SUM($G27:AC27)</f>
        <v>88.8888888888889</v>
      </c>
      <c r="AD28" s="12">
        <f>SUM($G27:AD27)</f>
        <v>100.00000000000001</v>
      </c>
      <c r="AE28" s="12">
        <f>SUM($G27:AE27)</f>
        <v>100.00000000000001</v>
      </c>
      <c r="AF28" s="13">
        <f>SUM($G27:AF27)</f>
        <v>100.00000000000001</v>
      </c>
      <c r="AG28" s="13">
        <f>SUM($G27:AG27)</f>
        <v>100.00000000000001</v>
      </c>
      <c r="AH28" s="12">
        <f>SUM($G27:AH27)</f>
        <v>100.00000000000001</v>
      </c>
      <c r="AI28" s="12">
        <f>SUM($G27:AI27)</f>
        <v>100.00000000000001</v>
      </c>
      <c r="AJ28" s="12">
        <f>SUM($G27:AJ27)</f>
        <v>100.00000000000001</v>
      </c>
      <c r="AK28" s="12">
        <f>SUM($G27:AK27)</f>
        <v>100.00000000000001</v>
      </c>
      <c r="AL28" s="12">
        <f>SUM($G27:AL27)</f>
        <v>100.00000000000001</v>
      </c>
      <c r="AM28" s="13">
        <f>SUM($G27:AM27)</f>
        <v>100.00000000000001</v>
      </c>
      <c r="AN28" s="13">
        <f>SUM($G27:AN27)</f>
        <v>100.00000000000001</v>
      </c>
      <c r="AO28" s="12">
        <f>SUM($G27:AO27)</f>
        <v>100.00000000000001</v>
      </c>
      <c r="AP28" s="12">
        <f>SUM($G27:AP27)</f>
        <v>100.00000000000001</v>
      </c>
      <c r="AQ28" s="12">
        <f>SUM($G27:AQ27)</f>
        <v>100.00000000000001</v>
      </c>
    </row>
    <row r="29" spans="1:43" x14ac:dyDescent="0.3">
      <c r="A29" s="24" t="s">
        <v>96</v>
      </c>
      <c r="B29" s="25" t="s">
        <v>66</v>
      </c>
      <c r="C29" s="23">
        <v>46290</v>
      </c>
      <c r="D29" s="23">
        <v>46296</v>
      </c>
      <c r="E29" s="24">
        <v>5</v>
      </c>
      <c r="F29" s="4" t="s">
        <v>52</v>
      </c>
      <c r="G29" s="9">
        <f t="shared" ref="G29:AQ29" si="13">IF(AND(G$2&gt;=$C29,G$2&lt;=$D29,WEEKDAY(G$2,2)&lt;=5),100/$E29,0)</f>
        <v>0</v>
      </c>
      <c r="H29" s="9">
        <f t="shared" si="13"/>
        <v>0</v>
      </c>
      <c r="I29" s="9">
        <f t="shared" si="13"/>
        <v>0</v>
      </c>
      <c r="J29" s="9">
        <f t="shared" si="13"/>
        <v>0</v>
      </c>
      <c r="K29" s="10">
        <f t="shared" si="13"/>
        <v>0</v>
      </c>
      <c r="L29" s="10">
        <f t="shared" si="13"/>
        <v>0</v>
      </c>
      <c r="M29" s="9">
        <f t="shared" si="13"/>
        <v>0</v>
      </c>
      <c r="N29" s="9">
        <f t="shared" si="13"/>
        <v>0</v>
      </c>
      <c r="O29" s="9">
        <f t="shared" si="13"/>
        <v>0</v>
      </c>
      <c r="P29" s="9">
        <f t="shared" si="13"/>
        <v>0</v>
      </c>
      <c r="Q29" s="9">
        <f t="shared" si="13"/>
        <v>0</v>
      </c>
      <c r="R29" s="10">
        <f t="shared" si="13"/>
        <v>0</v>
      </c>
      <c r="S29" s="10">
        <f t="shared" si="13"/>
        <v>0</v>
      </c>
      <c r="T29" s="9">
        <f t="shared" si="13"/>
        <v>0</v>
      </c>
      <c r="U29" s="9">
        <f t="shared" si="13"/>
        <v>0</v>
      </c>
      <c r="V29" s="9">
        <f t="shared" si="13"/>
        <v>0</v>
      </c>
      <c r="W29" s="9">
        <f t="shared" si="13"/>
        <v>0</v>
      </c>
      <c r="X29" s="9">
        <f t="shared" si="13"/>
        <v>0</v>
      </c>
      <c r="Y29" s="10">
        <f t="shared" si="13"/>
        <v>0</v>
      </c>
      <c r="Z29" s="10">
        <f t="shared" si="13"/>
        <v>0</v>
      </c>
      <c r="AA29" s="9">
        <f t="shared" si="13"/>
        <v>0</v>
      </c>
      <c r="AB29" s="9">
        <f t="shared" si="13"/>
        <v>0</v>
      </c>
      <c r="AC29" s="9">
        <f t="shared" si="13"/>
        <v>0</v>
      </c>
      <c r="AD29" s="9">
        <f t="shared" si="13"/>
        <v>0</v>
      </c>
      <c r="AE29" s="9">
        <f t="shared" si="13"/>
        <v>20</v>
      </c>
      <c r="AF29" s="10">
        <f t="shared" si="13"/>
        <v>0</v>
      </c>
      <c r="AG29" s="10">
        <f t="shared" si="13"/>
        <v>0</v>
      </c>
      <c r="AH29" s="9">
        <f t="shared" si="13"/>
        <v>20</v>
      </c>
      <c r="AI29" s="9">
        <f t="shared" si="13"/>
        <v>20</v>
      </c>
      <c r="AJ29" s="9">
        <f t="shared" si="13"/>
        <v>20</v>
      </c>
      <c r="AK29" s="9">
        <f t="shared" si="13"/>
        <v>20</v>
      </c>
      <c r="AL29" s="9">
        <f t="shared" si="13"/>
        <v>0</v>
      </c>
      <c r="AM29" s="10">
        <f t="shared" si="13"/>
        <v>0</v>
      </c>
      <c r="AN29" s="10">
        <f t="shared" si="13"/>
        <v>0</v>
      </c>
      <c r="AO29" s="9">
        <f t="shared" si="13"/>
        <v>0</v>
      </c>
      <c r="AP29" s="9">
        <f t="shared" si="13"/>
        <v>0</v>
      </c>
      <c r="AQ29" s="9">
        <f t="shared" si="13"/>
        <v>0</v>
      </c>
    </row>
    <row r="30" spans="1:43" x14ac:dyDescent="0.3">
      <c r="A30" s="24"/>
      <c r="B30" s="24"/>
      <c r="C30" s="24"/>
      <c r="D30" s="24"/>
      <c r="E30" s="24"/>
      <c r="F30" s="11" t="s">
        <v>53</v>
      </c>
      <c r="G30" s="12">
        <f>SUM($G29:G29)</f>
        <v>0</v>
      </c>
      <c r="H30" s="12">
        <f>SUM($G29:H29)</f>
        <v>0</v>
      </c>
      <c r="I30" s="12">
        <f>SUM($G29:I29)</f>
        <v>0</v>
      </c>
      <c r="J30" s="12">
        <f>SUM($G29:J29)</f>
        <v>0</v>
      </c>
      <c r="K30" s="13">
        <f>SUM($G29:K29)</f>
        <v>0</v>
      </c>
      <c r="L30" s="13">
        <f>SUM($G29:L29)</f>
        <v>0</v>
      </c>
      <c r="M30" s="12">
        <f>SUM($G29:M29)</f>
        <v>0</v>
      </c>
      <c r="N30" s="12">
        <f>SUM($G29:N29)</f>
        <v>0</v>
      </c>
      <c r="O30" s="12">
        <f>SUM($G29:O29)</f>
        <v>0</v>
      </c>
      <c r="P30" s="12">
        <f>SUM($G29:P29)</f>
        <v>0</v>
      </c>
      <c r="Q30" s="12">
        <f>SUM($G29:Q29)</f>
        <v>0</v>
      </c>
      <c r="R30" s="13">
        <f>SUM($G29:R29)</f>
        <v>0</v>
      </c>
      <c r="S30" s="13">
        <f>SUM($G29:S29)</f>
        <v>0</v>
      </c>
      <c r="T30" s="12">
        <f>SUM($G29:T29)</f>
        <v>0</v>
      </c>
      <c r="U30" s="12">
        <f>SUM($G29:U29)</f>
        <v>0</v>
      </c>
      <c r="V30" s="12">
        <f>SUM($G29:V29)</f>
        <v>0</v>
      </c>
      <c r="W30" s="12">
        <f>SUM($G29:W29)</f>
        <v>0</v>
      </c>
      <c r="X30" s="12">
        <f>SUM($G29:X29)</f>
        <v>0</v>
      </c>
      <c r="Y30" s="13">
        <f>SUM($G29:Y29)</f>
        <v>0</v>
      </c>
      <c r="Z30" s="13">
        <f>SUM($G29:Z29)</f>
        <v>0</v>
      </c>
      <c r="AA30" s="12">
        <f>SUM($G29:AA29)</f>
        <v>0</v>
      </c>
      <c r="AB30" s="12">
        <f>SUM($G29:AB29)</f>
        <v>0</v>
      </c>
      <c r="AC30" s="12">
        <f>SUM($G29:AC29)</f>
        <v>0</v>
      </c>
      <c r="AD30" s="12">
        <f>SUM($G29:AD29)</f>
        <v>0</v>
      </c>
      <c r="AE30" s="12">
        <f>SUM($G29:AE29)</f>
        <v>20</v>
      </c>
      <c r="AF30" s="13">
        <f>SUM($G29:AF29)</f>
        <v>20</v>
      </c>
      <c r="AG30" s="13">
        <f>SUM($G29:AG29)</f>
        <v>20</v>
      </c>
      <c r="AH30" s="12">
        <f>SUM($G29:AH29)</f>
        <v>40</v>
      </c>
      <c r="AI30" s="12">
        <f>SUM($G29:AI29)</f>
        <v>60</v>
      </c>
      <c r="AJ30" s="12">
        <f>SUM($G29:AJ29)</f>
        <v>80</v>
      </c>
      <c r="AK30" s="12">
        <f>SUM($G29:AK29)</f>
        <v>100</v>
      </c>
      <c r="AL30" s="12">
        <f>SUM($G29:AL29)</f>
        <v>100</v>
      </c>
      <c r="AM30" s="13">
        <f>SUM($G29:AM29)</f>
        <v>100</v>
      </c>
      <c r="AN30" s="13">
        <f>SUM($G29:AN29)</f>
        <v>100</v>
      </c>
      <c r="AO30" s="12">
        <f>SUM($G29:AO29)</f>
        <v>100</v>
      </c>
      <c r="AP30" s="12">
        <f>SUM($G29:AP29)</f>
        <v>100</v>
      </c>
      <c r="AQ30" s="12">
        <f>SUM($G29:AQ29)</f>
        <v>100</v>
      </c>
    </row>
    <row r="31" spans="1:43" x14ac:dyDescent="0.3">
      <c r="A31" s="21"/>
      <c r="B31" s="22" t="s">
        <v>67</v>
      </c>
      <c r="C31" s="23">
        <v>46279</v>
      </c>
      <c r="D31" s="23">
        <v>46302</v>
      </c>
      <c r="E31" s="24">
        <v>18</v>
      </c>
      <c r="F31" s="4" t="s">
        <v>52</v>
      </c>
      <c r="G31" s="9">
        <f t="shared" ref="G31:AQ31" si="14">IF(AND(G$2&gt;=$C31,G$2&lt;=$D31,WEEKDAY(G$2,2)&lt;=5),100/$E31,0)</f>
        <v>0</v>
      </c>
      <c r="H31" s="9">
        <f t="shared" si="14"/>
        <v>0</v>
      </c>
      <c r="I31" s="9">
        <f t="shared" si="14"/>
        <v>0</v>
      </c>
      <c r="J31" s="9">
        <f t="shared" si="14"/>
        <v>0</v>
      </c>
      <c r="K31" s="10">
        <f t="shared" si="14"/>
        <v>0</v>
      </c>
      <c r="L31" s="10">
        <f t="shared" si="14"/>
        <v>0</v>
      </c>
      <c r="M31" s="9">
        <f t="shared" si="14"/>
        <v>0</v>
      </c>
      <c r="N31" s="9">
        <f t="shared" si="14"/>
        <v>0</v>
      </c>
      <c r="O31" s="9">
        <f t="shared" si="14"/>
        <v>0</v>
      </c>
      <c r="P31" s="9">
        <f t="shared" si="14"/>
        <v>0</v>
      </c>
      <c r="Q31" s="9">
        <f t="shared" si="14"/>
        <v>0</v>
      </c>
      <c r="R31" s="10">
        <f t="shared" si="14"/>
        <v>0</v>
      </c>
      <c r="S31" s="10">
        <f t="shared" si="14"/>
        <v>0</v>
      </c>
      <c r="T31" s="9">
        <f t="shared" si="14"/>
        <v>5.5555555555555554</v>
      </c>
      <c r="U31" s="9">
        <f t="shared" si="14"/>
        <v>5.5555555555555554</v>
      </c>
      <c r="V31" s="9">
        <f t="shared" si="14"/>
        <v>5.5555555555555554</v>
      </c>
      <c r="W31" s="9">
        <f t="shared" si="14"/>
        <v>5.5555555555555554</v>
      </c>
      <c r="X31" s="9">
        <f t="shared" si="14"/>
        <v>5.5555555555555554</v>
      </c>
      <c r="Y31" s="10">
        <f t="shared" si="14"/>
        <v>0</v>
      </c>
      <c r="Z31" s="10">
        <f t="shared" si="14"/>
        <v>0</v>
      </c>
      <c r="AA31" s="9">
        <f t="shared" si="14"/>
        <v>5.5555555555555554</v>
      </c>
      <c r="AB31" s="9">
        <f t="shared" si="14"/>
        <v>5.5555555555555554</v>
      </c>
      <c r="AC31" s="9">
        <f t="shared" si="14"/>
        <v>5.5555555555555554</v>
      </c>
      <c r="AD31" s="9">
        <f t="shared" si="14"/>
        <v>5.5555555555555554</v>
      </c>
      <c r="AE31" s="9">
        <f t="shared" si="14"/>
        <v>5.5555555555555554</v>
      </c>
      <c r="AF31" s="10">
        <f t="shared" si="14"/>
        <v>0</v>
      </c>
      <c r="AG31" s="10">
        <f t="shared" si="14"/>
        <v>0</v>
      </c>
      <c r="AH31" s="9">
        <f t="shared" si="14"/>
        <v>5.5555555555555554</v>
      </c>
      <c r="AI31" s="9">
        <f t="shared" si="14"/>
        <v>5.5555555555555554</v>
      </c>
      <c r="AJ31" s="9">
        <f t="shared" si="14"/>
        <v>5.5555555555555554</v>
      </c>
      <c r="AK31" s="9">
        <f t="shared" si="14"/>
        <v>5.5555555555555554</v>
      </c>
      <c r="AL31" s="9">
        <f t="shared" si="14"/>
        <v>5.5555555555555554</v>
      </c>
      <c r="AM31" s="10">
        <f t="shared" si="14"/>
        <v>0</v>
      </c>
      <c r="AN31" s="10">
        <f t="shared" si="14"/>
        <v>0</v>
      </c>
      <c r="AO31" s="9">
        <f t="shared" si="14"/>
        <v>5.5555555555555554</v>
      </c>
      <c r="AP31" s="9">
        <f t="shared" si="14"/>
        <v>5.5555555555555554</v>
      </c>
      <c r="AQ31" s="9">
        <f t="shared" si="14"/>
        <v>5.5555555555555554</v>
      </c>
    </row>
    <row r="32" spans="1:43" x14ac:dyDescent="0.3">
      <c r="A32" s="21"/>
      <c r="B32" s="21"/>
      <c r="C32" s="21"/>
      <c r="D32" s="21"/>
      <c r="E32" s="21"/>
      <c r="F32" s="11" t="s">
        <v>53</v>
      </c>
      <c r="G32" s="12">
        <f>SUM($G31:G31)</f>
        <v>0</v>
      </c>
      <c r="H32" s="12">
        <f>SUM($G31:H31)</f>
        <v>0</v>
      </c>
      <c r="I32" s="12">
        <f>SUM($G31:I31)</f>
        <v>0</v>
      </c>
      <c r="J32" s="12">
        <f>SUM($G31:J31)</f>
        <v>0</v>
      </c>
      <c r="K32" s="13">
        <f>SUM($G31:K31)</f>
        <v>0</v>
      </c>
      <c r="L32" s="13">
        <f>SUM($G31:L31)</f>
        <v>0</v>
      </c>
      <c r="M32" s="12">
        <f>SUM($G31:M31)</f>
        <v>0</v>
      </c>
      <c r="N32" s="12">
        <f>SUM($G31:N31)</f>
        <v>0</v>
      </c>
      <c r="O32" s="12">
        <f>SUM($G31:O31)</f>
        <v>0</v>
      </c>
      <c r="P32" s="12">
        <f>SUM($G31:P31)</f>
        <v>0</v>
      </c>
      <c r="Q32" s="12">
        <f>SUM($G31:Q31)</f>
        <v>0</v>
      </c>
      <c r="R32" s="13">
        <f>SUM($G31:R31)</f>
        <v>0</v>
      </c>
      <c r="S32" s="13">
        <f>SUM($G31:S31)</f>
        <v>0</v>
      </c>
      <c r="T32" s="12">
        <f>SUM($G31:T31)</f>
        <v>5.5555555555555554</v>
      </c>
      <c r="U32" s="12">
        <f>SUM($G31:U31)</f>
        <v>11.111111111111111</v>
      </c>
      <c r="V32" s="12">
        <f>SUM($G31:V31)</f>
        <v>16.666666666666664</v>
      </c>
      <c r="W32" s="12">
        <f>SUM($G31:W31)</f>
        <v>22.222222222222221</v>
      </c>
      <c r="X32" s="12">
        <f>SUM($G31:X31)</f>
        <v>27.777777777777779</v>
      </c>
      <c r="Y32" s="13">
        <f>SUM($G31:Y31)</f>
        <v>27.777777777777779</v>
      </c>
      <c r="Z32" s="13">
        <f>SUM($G31:Z31)</f>
        <v>27.777777777777779</v>
      </c>
      <c r="AA32" s="12">
        <f>SUM($G31:AA31)</f>
        <v>33.333333333333336</v>
      </c>
      <c r="AB32" s="12">
        <f>SUM($G31:AB31)</f>
        <v>38.888888888888893</v>
      </c>
      <c r="AC32" s="12">
        <f>SUM($G31:AC31)</f>
        <v>44.44444444444445</v>
      </c>
      <c r="AD32" s="12">
        <f>SUM($G31:AD31)</f>
        <v>50.000000000000007</v>
      </c>
      <c r="AE32" s="12">
        <f>SUM($G31:AE31)</f>
        <v>55.555555555555564</v>
      </c>
      <c r="AF32" s="13">
        <f>SUM($G31:AF31)</f>
        <v>55.555555555555564</v>
      </c>
      <c r="AG32" s="13">
        <f>SUM($G31:AG31)</f>
        <v>55.555555555555564</v>
      </c>
      <c r="AH32" s="12">
        <f>SUM($G31:AH31)</f>
        <v>61.111111111111121</v>
      </c>
      <c r="AI32" s="12">
        <f>SUM($G31:AI31)</f>
        <v>66.666666666666671</v>
      </c>
      <c r="AJ32" s="12">
        <f>SUM($G31:AJ31)</f>
        <v>72.222222222222229</v>
      </c>
      <c r="AK32" s="12">
        <f>SUM($G31:AK31)</f>
        <v>77.777777777777786</v>
      </c>
      <c r="AL32" s="12">
        <f>SUM($G31:AL31)</f>
        <v>83.333333333333343</v>
      </c>
      <c r="AM32" s="13">
        <f>SUM($G31:AM31)</f>
        <v>83.333333333333343</v>
      </c>
      <c r="AN32" s="13">
        <f>SUM($G31:AN31)</f>
        <v>83.333333333333343</v>
      </c>
      <c r="AO32" s="12">
        <f>SUM($G31:AO31)</f>
        <v>88.8888888888889</v>
      </c>
      <c r="AP32" s="12">
        <f>SUM($G31:AP31)</f>
        <v>94.444444444444457</v>
      </c>
      <c r="AQ32" s="12">
        <f>SUM($G31:AQ31)</f>
        <v>100.00000000000001</v>
      </c>
    </row>
    <row r="33" spans="1:43" x14ac:dyDescent="0.3">
      <c r="A33" s="21" t="s">
        <v>97</v>
      </c>
      <c r="B33" s="22" t="s">
        <v>68</v>
      </c>
      <c r="C33" s="23">
        <v>46279</v>
      </c>
      <c r="D33" s="23">
        <v>46302</v>
      </c>
      <c r="E33" s="24">
        <v>18</v>
      </c>
      <c r="F33" s="4" t="s">
        <v>52</v>
      </c>
      <c r="G33" s="9">
        <f t="shared" ref="G33:AQ33" si="15">IF(AND(G$2&gt;=$C33,G$2&lt;=$D33,WEEKDAY(G$2,2)&lt;=5),100/$E33,0)</f>
        <v>0</v>
      </c>
      <c r="H33" s="9">
        <f t="shared" si="15"/>
        <v>0</v>
      </c>
      <c r="I33" s="9">
        <f t="shared" si="15"/>
        <v>0</v>
      </c>
      <c r="J33" s="9">
        <f t="shared" si="15"/>
        <v>0</v>
      </c>
      <c r="K33" s="10">
        <f t="shared" si="15"/>
        <v>0</v>
      </c>
      <c r="L33" s="10">
        <f t="shared" si="15"/>
        <v>0</v>
      </c>
      <c r="M33" s="9">
        <f t="shared" si="15"/>
        <v>0</v>
      </c>
      <c r="N33" s="9">
        <f t="shared" si="15"/>
        <v>0</v>
      </c>
      <c r="O33" s="9">
        <f t="shared" si="15"/>
        <v>0</v>
      </c>
      <c r="P33" s="9">
        <f t="shared" si="15"/>
        <v>0</v>
      </c>
      <c r="Q33" s="9">
        <f t="shared" si="15"/>
        <v>0</v>
      </c>
      <c r="R33" s="10">
        <f t="shared" si="15"/>
        <v>0</v>
      </c>
      <c r="S33" s="10">
        <f t="shared" si="15"/>
        <v>0</v>
      </c>
      <c r="T33" s="9">
        <f t="shared" si="15"/>
        <v>5.5555555555555554</v>
      </c>
      <c r="U33" s="9">
        <f t="shared" si="15"/>
        <v>5.5555555555555554</v>
      </c>
      <c r="V33" s="9">
        <f t="shared" si="15"/>
        <v>5.5555555555555554</v>
      </c>
      <c r="W33" s="9">
        <f t="shared" si="15"/>
        <v>5.5555555555555554</v>
      </c>
      <c r="X33" s="9">
        <f t="shared" si="15"/>
        <v>5.5555555555555554</v>
      </c>
      <c r="Y33" s="10">
        <f t="shared" si="15"/>
        <v>0</v>
      </c>
      <c r="Z33" s="10">
        <f t="shared" si="15"/>
        <v>0</v>
      </c>
      <c r="AA33" s="9">
        <f t="shared" si="15"/>
        <v>5.5555555555555554</v>
      </c>
      <c r="AB33" s="9">
        <f t="shared" si="15"/>
        <v>5.5555555555555554</v>
      </c>
      <c r="AC33" s="9">
        <f t="shared" si="15"/>
        <v>5.5555555555555554</v>
      </c>
      <c r="AD33" s="9">
        <f t="shared" si="15"/>
        <v>5.5555555555555554</v>
      </c>
      <c r="AE33" s="9">
        <f t="shared" si="15"/>
        <v>5.5555555555555554</v>
      </c>
      <c r="AF33" s="10">
        <f t="shared" si="15"/>
        <v>0</v>
      </c>
      <c r="AG33" s="10">
        <f t="shared" si="15"/>
        <v>0</v>
      </c>
      <c r="AH33" s="9">
        <f t="shared" si="15"/>
        <v>5.5555555555555554</v>
      </c>
      <c r="AI33" s="9">
        <f t="shared" si="15"/>
        <v>5.5555555555555554</v>
      </c>
      <c r="AJ33" s="9">
        <f t="shared" si="15"/>
        <v>5.5555555555555554</v>
      </c>
      <c r="AK33" s="9">
        <f t="shared" si="15"/>
        <v>5.5555555555555554</v>
      </c>
      <c r="AL33" s="9">
        <f t="shared" si="15"/>
        <v>5.5555555555555554</v>
      </c>
      <c r="AM33" s="10">
        <f t="shared" si="15"/>
        <v>0</v>
      </c>
      <c r="AN33" s="10">
        <f t="shared" si="15"/>
        <v>0</v>
      </c>
      <c r="AO33" s="9">
        <f t="shared" si="15"/>
        <v>5.5555555555555554</v>
      </c>
      <c r="AP33" s="9">
        <f t="shared" si="15"/>
        <v>5.5555555555555554</v>
      </c>
      <c r="AQ33" s="9">
        <f t="shared" si="15"/>
        <v>5.5555555555555554</v>
      </c>
    </row>
    <row r="34" spans="1:43" x14ac:dyDescent="0.3">
      <c r="A34" s="21"/>
      <c r="B34" s="21"/>
      <c r="C34" s="21"/>
      <c r="D34" s="21"/>
      <c r="E34" s="21"/>
      <c r="F34" s="11" t="s">
        <v>53</v>
      </c>
      <c r="G34" s="12">
        <f>SUM($G33:G33)</f>
        <v>0</v>
      </c>
      <c r="H34" s="12">
        <f>SUM($G33:H33)</f>
        <v>0</v>
      </c>
      <c r="I34" s="12">
        <f>SUM($G33:I33)</f>
        <v>0</v>
      </c>
      <c r="J34" s="12">
        <f>SUM($G33:J33)</f>
        <v>0</v>
      </c>
      <c r="K34" s="13">
        <f>SUM($G33:K33)</f>
        <v>0</v>
      </c>
      <c r="L34" s="13">
        <f>SUM($G33:L33)</f>
        <v>0</v>
      </c>
      <c r="M34" s="12">
        <f>SUM($G33:M33)</f>
        <v>0</v>
      </c>
      <c r="N34" s="12">
        <f>SUM($G33:N33)</f>
        <v>0</v>
      </c>
      <c r="O34" s="12">
        <f>SUM($G33:O33)</f>
        <v>0</v>
      </c>
      <c r="P34" s="12">
        <f>SUM($G33:P33)</f>
        <v>0</v>
      </c>
      <c r="Q34" s="12">
        <f>SUM($G33:Q33)</f>
        <v>0</v>
      </c>
      <c r="R34" s="13">
        <f>SUM($G33:R33)</f>
        <v>0</v>
      </c>
      <c r="S34" s="13">
        <f>SUM($G33:S33)</f>
        <v>0</v>
      </c>
      <c r="T34" s="12">
        <f>SUM($G33:T33)</f>
        <v>5.5555555555555554</v>
      </c>
      <c r="U34" s="12">
        <f>SUM($G33:U33)</f>
        <v>11.111111111111111</v>
      </c>
      <c r="V34" s="12">
        <f>SUM($G33:V33)</f>
        <v>16.666666666666664</v>
      </c>
      <c r="W34" s="12">
        <f>SUM($G33:W33)</f>
        <v>22.222222222222221</v>
      </c>
      <c r="X34" s="12">
        <f>SUM($G33:X33)</f>
        <v>27.777777777777779</v>
      </c>
      <c r="Y34" s="13">
        <f>SUM($G33:Y33)</f>
        <v>27.777777777777779</v>
      </c>
      <c r="Z34" s="13">
        <f>SUM($G33:Z33)</f>
        <v>27.777777777777779</v>
      </c>
      <c r="AA34" s="12">
        <f>SUM($G33:AA33)</f>
        <v>33.333333333333336</v>
      </c>
      <c r="AB34" s="12">
        <f>SUM($G33:AB33)</f>
        <v>38.888888888888893</v>
      </c>
      <c r="AC34" s="12">
        <f>SUM($G33:AC33)</f>
        <v>44.44444444444445</v>
      </c>
      <c r="AD34" s="12">
        <f>SUM($G33:AD33)</f>
        <v>50.000000000000007</v>
      </c>
      <c r="AE34" s="12">
        <f>SUM($G33:AE33)</f>
        <v>55.555555555555564</v>
      </c>
      <c r="AF34" s="13">
        <f>SUM($G33:AF33)</f>
        <v>55.555555555555564</v>
      </c>
      <c r="AG34" s="13">
        <f>SUM($G33:AG33)</f>
        <v>55.555555555555564</v>
      </c>
      <c r="AH34" s="12">
        <f>SUM($G33:AH33)</f>
        <v>61.111111111111121</v>
      </c>
      <c r="AI34" s="12">
        <f>SUM($G33:AI33)</f>
        <v>66.666666666666671</v>
      </c>
      <c r="AJ34" s="12">
        <f>SUM($G33:AJ33)</f>
        <v>72.222222222222229</v>
      </c>
      <c r="AK34" s="12">
        <f>SUM($G33:AK33)</f>
        <v>77.777777777777786</v>
      </c>
      <c r="AL34" s="12">
        <f>SUM($G33:AL33)</f>
        <v>83.333333333333343</v>
      </c>
      <c r="AM34" s="13">
        <f>SUM($G33:AM33)</f>
        <v>83.333333333333343</v>
      </c>
      <c r="AN34" s="13">
        <f>SUM($G33:AN33)</f>
        <v>83.333333333333343</v>
      </c>
      <c r="AO34" s="12">
        <f>SUM($G33:AO33)</f>
        <v>88.8888888888889</v>
      </c>
      <c r="AP34" s="12">
        <f>SUM($G33:AP33)</f>
        <v>94.444444444444457</v>
      </c>
      <c r="AQ34" s="12">
        <f>SUM($G33:AQ33)</f>
        <v>100.00000000000001</v>
      </c>
    </row>
    <row r="35" spans="1:43" x14ac:dyDescent="0.3">
      <c r="A35" s="24" t="s">
        <v>98</v>
      </c>
      <c r="B35" s="25" t="s">
        <v>69</v>
      </c>
      <c r="C35" s="23">
        <v>46279</v>
      </c>
      <c r="D35" s="23">
        <v>46288</v>
      </c>
      <c r="E35" s="24">
        <v>8</v>
      </c>
      <c r="F35" s="4" t="s">
        <v>52</v>
      </c>
      <c r="G35" s="9">
        <f t="shared" ref="G35:AQ35" si="16">IF(AND(G$2&gt;=$C35,G$2&lt;=$D35,WEEKDAY(G$2,2)&lt;=5),100/$E35,0)</f>
        <v>0</v>
      </c>
      <c r="H35" s="9">
        <f t="shared" si="16"/>
        <v>0</v>
      </c>
      <c r="I35" s="9">
        <f t="shared" si="16"/>
        <v>0</v>
      </c>
      <c r="J35" s="9">
        <f t="shared" si="16"/>
        <v>0</v>
      </c>
      <c r="K35" s="10">
        <f t="shared" si="16"/>
        <v>0</v>
      </c>
      <c r="L35" s="10">
        <f t="shared" si="16"/>
        <v>0</v>
      </c>
      <c r="M35" s="9">
        <f t="shared" si="16"/>
        <v>0</v>
      </c>
      <c r="N35" s="9">
        <f t="shared" si="16"/>
        <v>0</v>
      </c>
      <c r="O35" s="9">
        <f t="shared" si="16"/>
        <v>0</v>
      </c>
      <c r="P35" s="9">
        <f t="shared" si="16"/>
        <v>0</v>
      </c>
      <c r="Q35" s="9">
        <f t="shared" si="16"/>
        <v>0</v>
      </c>
      <c r="R35" s="10">
        <f t="shared" si="16"/>
        <v>0</v>
      </c>
      <c r="S35" s="10">
        <f t="shared" si="16"/>
        <v>0</v>
      </c>
      <c r="T35" s="9">
        <f t="shared" si="16"/>
        <v>12.5</v>
      </c>
      <c r="U35" s="9">
        <f t="shared" si="16"/>
        <v>12.5</v>
      </c>
      <c r="V35" s="9">
        <f t="shared" si="16"/>
        <v>12.5</v>
      </c>
      <c r="W35" s="9">
        <f t="shared" si="16"/>
        <v>12.5</v>
      </c>
      <c r="X35" s="9">
        <f t="shared" si="16"/>
        <v>12.5</v>
      </c>
      <c r="Y35" s="10">
        <f t="shared" si="16"/>
        <v>0</v>
      </c>
      <c r="Z35" s="10">
        <f t="shared" si="16"/>
        <v>0</v>
      </c>
      <c r="AA35" s="9">
        <f t="shared" si="16"/>
        <v>12.5</v>
      </c>
      <c r="AB35" s="9">
        <f t="shared" si="16"/>
        <v>12.5</v>
      </c>
      <c r="AC35" s="9">
        <f t="shared" si="16"/>
        <v>12.5</v>
      </c>
      <c r="AD35" s="9">
        <f t="shared" si="16"/>
        <v>0</v>
      </c>
      <c r="AE35" s="9">
        <f t="shared" si="16"/>
        <v>0</v>
      </c>
      <c r="AF35" s="10">
        <f t="shared" si="16"/>
        <v>0</v>
      </c>
      <c r="AG35" s="10">
        <f t="shared" si="16"/>
        <v>0</v>
      </c>
      <c r="AH35" s="9">
        <f t="shared" si="16"/>
        <v>0</v>
      </c>
      <c r="AI35" s="9">
        <f t="shared" si="16"/>
        <v>0</v>
      </c>
      <c r="AJ35" s="9">
        <f t="shared" si="16"/>
        <v>0</v>
      </c>
      <c r="AK35" s="9">
        <f t="shared" si="16"/>
        <v>0</v>
      </c>
      <c r="AL35" s="9">
        <f t="shared" si="16"/>
        <v>0</v>
      </c>
      <c r="AM35" s="10">
        <f t="shared" si="16"/>
        <v>0</v>
      </c>
      <c r="AN35" s="10">
        <f t="shared" si="16"/>
        <v>0</v>
      </c>
      <c r="AO35" s="9">
        <f t="shared" si="16"/>
        <v>0</v>
      </c>
      <c r="AP35" s="9">
        <f t="shared" si="16"/>
        <v>0</v>
      </c>
      <c r="AQ35" s="9">
        <f t="shared" si="16"/>
        <v>0</v>
      </c>
    </row>
    <row r="36" spans="1:43" x14ac:dyDescent="0.3">
      <c r="A36" s="24"/>
      <c r="B36" s="24"/>
      <c r="C36" s="24"/>
      <c r="D36" s="24"/>
      <c r="E36" s="24"/>
      <c r="F36" s="11" t="s">
        <v>53</v>
      </c>
      <c r="G36" s="12">
        <f>SUM($G35:G35)</f>
        <v>0</v>
      </c>
      <c r="H36" s="12">
        <f>SUM($G35:H35)</f>
        <v>0</v>
      </c>
      <c r="I36" s="12">
        <f>SUM($G35:I35)</f>
        <v>0</v>
      </c>
      <c r="J36" s="12">
        <f>SUM($G35:J35)</f>
        <v>0</v>
      </c>
      <c r="K36" s="13">
        <f>SUM($G35:K35)</f>
        <v>0</v>
      </c>
      <c r="L36" s="13">
        <f>SUM($G35:L35)</f>
        <v>0</v>
      </c>
      <c r="M36" s="12">
        <f>SUM($G35:M35)</f>
        <v>0</v>
      </c>
      <c r="N36" s="12">
        <f>SUM($G35:N35)</f>
        <v>0</v>
      </c>
      <c r="O36" s="12">
        <f>SUM($G35:O35)</f>
        <v>0</v>
      </c>
      <c r="P36" s="12">
        <f>SUM($G35:P35)</f>
        <v>0</v>
      </c>
      <c r="Q36" s="12">
        <f>SUM($G35:Q35)</f>
        <v>0</v>
      </c>
      <c r="R36" s="13">
        <f>SUM($G35:R35)</f>
        <v>0</v>
      </c>
      <c r="S36" s="13">
        <f>SUM($G35:S35)</f>
        <v>0</v>
      </c>
      <c r="T36" s="12">
        <f>SUM($G35:T35)</f>
        <v>12.5</v>
      </c>
      <c r="U36" s="12">
        <f>SUM($G35:U35)</f>
        <v>25</v>
      </c>
      <c r="V36" s="12">
        <f>SUM($G35:V35)</f>
        <v>37.5</v>
      </c>
      <c r="W36" s="12">
        <f>SUM($G35:W35)</f>
        <v>50</v>
      </c>
      <c r="X36" s="12">
        <f>SUM($G35:X35)</f>
        <v>62.5</v>
      </c>
      <c r="Y36" s="13">
        <f>SUM($G35:Y35)</f>
        <v>62.5</v>
      </c>
      <c r="Z36" s="13">
        <f>SUM($G35:Z35)</f>
        <v>62.5</v>
      </c>
      <c r="AA36" s="12">
        <f>SUM($G35:AA35)</f>
        <v>75</v>
      </c>
      <c r="AB36" s="12">
        <f>SUM($G35:AB35)</f>
        <v>87.5</v>
      </c>
      <c r="AC36" s="12">
        <f>SUM($G35:AC35)</f>
        <v>100</v>
      </c>
      <c r="AD36" s="12">
        <f>SUM($G35:AD35)</f>
        <v>100</v>
      </c>
      <c r="AE36" s="12">
        <f>SUM($G35:AE35)</f>
        <v>100</v>
      </c>
      <c r="AF36" s="13">
        <f>SUM($G35:AF35)</f>
        <v>100</v>
      </c>
      <c r="AG36" s="13">
        <f>SUM($G35:AG35)</f>
        <v>100</v>
      </c>
      <c r="AH36" s="12">
        <f>SUM($G35:AH35)</f>
        <v>100</v>
      </c>
      <c r="AI36" s="12">
        <f>SUM($G35:AI35)</f>
        <v>100</v>
      </c>
      <c r="AJ36" s="12">
        <f>SUM($G35:AJ35)</f>
        <v>100</v>
      </c>
      <c r="AK36" s="12">
        <f>SUM($G35:AK35)</f>
        <v>100</v>
      </c>
      <c r="AL36" s="12">
        <f>SUM($G35:AL35)</f>
        <v>100</v>
      </c>
      <c r="AM36" s="13">
        <f>SUM($G35:AM35)</f>
        <v>100</v>
      </c>
      <c r="AN36" s="13">
        <f>SUM($G35:AN35)</f>
        <v>100</v>
      </c>
      <c r="AO36" s="12">
        <f>SUM($G35:AO35)</f>
        <v>100</v>
      </c>
      <c r="AP36" s="12">
        <f>SUM($G35:AP35)</f>
        <v>100</v>
      </c>
      <c r="AQ36" s="12">
        <f>SUM($G35:AQ35)</f>
        <v>100</v>
      </c>
    </row>
    <row r="37" spans="1:43" x14ac:dyDescent="0.3">
      <c r="A37" s="24" t="s">
        <v>100</v>
      </c>
      <c r="B37" s="25" t="s">
        <v>70</v>
      </c>
      <c r="C37" s="23">
        <v>46289</v>
      </c>
      <c r="D37" s="23">
        <v>46293</v>
      </c>
      <c r="E37" s="24">
        <v>3</v>
      </c>
      <c r="F37" s="4" t="s">
        <v>52</v>
      </c>
      <c r="G37" s="9">
        <f t="shared" ref="G37:AQ37" si="17">IF(AND(G$2&gt;=$C37,G$2&lt;=$D37,WEEKDAY(G$2,2)&lt;=5),100/$E37,0)</f>
        <v>0</v>
      </c>
      <c r="H37" s="9">
        <f t="shared" si="17"/>
        <v>0</v>
      </c>
      <c r="I37" s="9">
        <f t="shared" si="17"/>
        <v>0</v>
      </c>
      <c r="J37" s="9">
        <f t="shared" si="17"/>
        <v>0</v>
      </c>
      <c r="K37" s="10">
        <f t="shared" si="17"/>
        <v>0</v>
      </c>
      <c r="L37" s="10">
        <f t="shared" si="17"/>
        <v>0</v>
      </c>
      <c r="M37" s="9">
        <f t="shared" si="17"/>
        <v>0</v>
      </c>
      <c r="N37" s="9">
        <f t="shared" si="17"/>
        <v>0</v>
      </c>
      <c r="O37" s="9">
        <f t="shared" si="17"/>
        <v>0</v>
      </c>
      <c r="P37" s="9">
        <f t="shared" si="17"/>
        <v>0</v>
      </c>
      <c r="Q37" s="9">
        <f t="shared" si="17"/>
        <v>0</v>
      </c>
      <c r="R37" s="10">
        <f t="shared" si="17"/>
        <v>0</v>
      </c>
      <c r="S37" s="10">
        <f t="shared" si="17"/>
        <v>0</v>
      </c>
      <c r="T37" s="9">
        <f t="shared" si="17"/>
        <v>0</v>
      </c>
      <c r="U37" s="9">
        <f t="shared" si="17"/>
        <v>0</v>
      </c>
      <c r="V37" s="9">
        <f t="shared" si="17"/>
        <v>0</v>
      </c>
      <c r="W37" s="9">
        <f t="shared" si="17"/>
        <v>0</v>
      </c>
      <c r="X37" s="9">
        <f t="shared" si="17"/>
        <v>0</v>
      </c>
      <c r="Y37" s="10">
        <f t="shared" si="17"/>
        <v>0</v>
      </c>
      <c r="Z37" s="10">
        <f t="shared" si="17"/>
        <v>0</v>
      </c>
      <c r="AA37" s="9">
        <f t="shared" si="17"/>
        <v>0</v>
      </c>
      <c r="AB37" s="9">
        <f t="shared" si="17"/>
        <v>0</v>
      </c>
      <c r="AC37" s="9">
        <f t="shared" si="17"/>
        <v>0</v>
      </c>
      <c r="AD37" s="9">
        <f t="shared" si="17"/>
        <v>33.333333333333336</v>
      </c>
      <c r="AE37" s="9">
        <f t="shared" si="17"/>
        <v>33.333333333333336</v>
      </c>
      <c r="AF37" s="10">
        <f t="shared" si="17"/>
        <v>0</v>
      </c>
      <c r="AG37" s="10">
        <f t="shared" si="17"/>
        <v>0</v>
      </c>
      <c r="AH37" s="9">
        <f t="shared" si="17"/>
        <v>33.333333333333336</v>
      </c>
      <c r="AI37" s="9">
        <f t="shared" si="17"/>
        <v>0</v>
      </c>
      <c r="AJ37" s="9">
        <f t="shared" si="17"/>
        <v>0</v>
      </c>
      <c r="AK37" s="9">
        <f t="shared" si="17"/>
        <v>0</v>
      </c>
      <c r="AL37" s="9">
        <f t="shared" si="17"/>
        <v>0</v>
      </c>
      <c r="AM37" s="10">
        <f t="shared" si="17"/>
        <v>0</v>
      </c>
      <c r="AN37" s="10">
        <f t="shared" si="17"/>
        <v>0</v>
      </c>
      <c r="AO37" s="9">
        <f t="shared" si="17"/>
        <v>0</v>
      </c>
      <c r="AP37" s="9">
        <f t="shared" si="17"/>
        <v>0</v>
      </c>
      <c r="AQ37" s="9">
        <f t="shared" si="17"/>
        <v>0</v>
      </c>
    </row>
    <row r="38" spans="1:43" x14ac:dyDescent="0.3">
      <c r="A38" s="24"/>
      <c r="B38" s="24"/>
      <c r="C38" s="24"/>
      <c r="D38" s="24"/>
      <c r="E38" s="24"/>
      <c r="F38" s="11" t="s">
        <v>53</v>
      </c>
      <c r="G38" s="12">
        <f>SUM($G37:G37)</f>
        <v>0</v>
      </c>
      <c r="H38" s="12">
        <f>SUM($G37:H37)</f>
        <v>0</v>
      </c>
      <c r="I38" s="12">
        <f>SUM($G37:I37)</f>
        <v>0</v>
      </c>
      <c r="J38" s="12">
        <f>SUM($G37:J37)</f>
        <v>0</v>
      </c>
      <c r="K38" s="13">
        <f>SUM($G37:K37)</f>
        <v>0</v>
      </c>
      <c r="L38" s="13">
        <f>SUM($G37:L37)</f>
        <v>0</v>
      </c>
      <c r="M38" s="12">
        <f>SUM($G37:M37)</f>
        <v>0</v>
      </c>
      <c r="N38" s="12">
        <f>SUM($G37:N37)</f>
        <v>0</v>
      </c>
      <c r="O38" s="12">
        <f>SUM($G37:O37)</f>
        <v>0</v>
      </c>
      <c r="P38" s="12">
        <f>SUM($G37:P37)</f>
        <v>0</v>
      </c>
      <c r="Q38" s="12">
        <f>SUM($G37:Q37)</f>
        <v>0</v>
      </c>
      <c r="R38" s="13">
        <f>SUM($G37:R37)</f>
        <v>0</v>
      </c>
      <c r="S38" s="13">
        <f>SUM($G37:S37)</f>
        <v>0</v>
      </c>
      <c r="T38" s="12">
        <f>SUM($G37:T37)</f>
        <v>0</v>
      </c>
      <c r="U38" s="12">
        <f>SUM($G37:U37)</f>
        <v>0</v>
      </c>
      <c r="V38" s="12">
        <f>SUM($G37:V37)</f>
        <v>0</v>
      </c>
      <c r="W38" s="12">
        <f>SUM($G37:W37)</f>
        <v>0</v>
      </c>
      <c r="X38" s="12">
        <f>SUM($G37:X37)</f>
        <v>0</v>
      </c>
      <c r="Y38" s="13">
        <f>SUM($G37:Y37)</f>
        <v>0</v>
      </c>
      <c r="Z38" s="13">
        <f>SUM($G37:Z37)</f>
        <v>0</v>
      </c>
      <c r="AA38" s="12">
        <f>SUM($G37:AA37)</f>
        <v>0</v>
      </c>
      <c r="AB38" s="12">
        <f>SUM($G37:AB37)</f>
        <v>0</v>
      </c>
      <c r="AC38" s="12">
        <f>SUM($G37:AC37)</f>
        <v>0</v>
      </c>
      <c r="AD38" s="12">
        <f>SUM($G37:AD37)</f>
        <v>33.333333333333336</v>
      </c>
      <c r="AE38" s="12">
        <f>SUM($G37:AE37)</f>
        <v>66.666666666666671</v>
      </c>
      <c r="AF38" s="13">
        <f>SUM($G37:AF37)</f>
        <v>66.666666666666671</v>
      </c>
      <c r="AG38" s="13">
        <f>SUM($G37:AG37)</f>
        <v>66.666666666666671</v>
      </c>
      <c r="AH38" s="12">
        <f>SUM($G37:AH37)</f>
        <v>100</v>
      </c>
      <c r="AI38" s="12">
        <f>SUM($G37:AI37)</f>
        <v>100</v>
      </c>
      <c r="AJ38" s="12">
        <f>SUM($G37:AJ37)</f>
        <v>100</v>
      </c>
      <c r="AK38" s="12">
        <f>SUM($G37:AK37)</f>
        <v>100</v>
      </c>
      <c r="AL38" s="12">
        <f>SUM($G37:AL37)</f>
        <v>100</v>
      </c>
      <c r="AM38" s="13">
        <f>SUM($G37:AM37)</f>
        <v>100</v>
      </c>
      <c r="AN38" s="13">
        <f>SUM($G37:AN37)</f>
        <v>100</v>
      </c>
      <c r="AO38" s="12">
        <f>SUM($G37:AO37)</f>
        <v>100</v>
      </c>
      <c r="AP38" s="12">
        <f>SUM($G37:AP37)</f>
        <v>100</v>
      </c>
      <c r="AQ38" s="12">
        <f>SUM($G37:AQ37)</f>
        <v>100</v>
      </c>
    </row>
    <row r="39" spans="1:43" x14ac:dyDescent="0.3">
      <c r="A39" s="24" t="s">
        <v>101</v>
      </c>
      <c r="B39" s="25" t="s">
        <v>71</v>
      </c>
      <c r="C39" s="23">
        <v>46289</v>
      </c>
      <c r="D39" s="23">
        <v>46293</v>
      </c>
      <c r="E39" s="24">
        <v>3</v>
      </c>
      <c r="F39" s="4" t="s">
        <v>52</v>
      </c>
      <c r="G39" s="9">
        <f t="shared" ref="G39:AQ39" si="18">IF(AND(G$2&gt;=$C39,G$2&lt;=$D39,WEEKDAY(G$2,2)&lt;=5),100/$E39,0)</f>
        <v>0</v>
      </c>
      <c r="H39" s="9">
        <f t="shared" si="18"/>
        <v>0</v>
      </c>
      <c r="I39" s="9">
        <f t="shared" si="18"/>
        <v>0</v>
      </c>
      <c r="J39" s="9">
        <f t="shared" si="18"/>
        <v>0</v>
      </c>
      <c r="K39" s="10">
        <f t="shared" si="18"/>
        <v>0</v>
      </c>
      <c r="L39" s="10">
        <f t="shared" si="18"/>
        <v>0</v>
      </c>
      <c r="M39" s="9">
        <f t="shared" si="18"/>
        <v>0</v>
      </c>
      <c r="N39" s="9">
        <f t="shared" si="18"/>
        <v>0</v>
      </c>
      <c r="O39" s="9">
        <f t="shared" si="18"/>
        <v>0</v>
      </c>
      <c r="P39" s="9">
        <f t="shared" si="18"/>
        <v>0</v>
      </c>
      <c r="Q39" s="9">
        <f t="shared" si="18"/>
        <v>0</v>
      </c>
      <c r="R39" s="10">
        <f t="shared" si="18"/>
        <v>0</v>
      </c>
      <c r="S39" s="10">
        <f t="shared" si="18"/>
        <v>0</v>
      </c>
      <c r="T39" s="9">
        <f t="shared" si="18"/>
        <v>0</v>
      </c>
      <c r="U39" s="9">
        <f t="shared" si="18"/>
        <v>0</v>
      </c>
      <c r="V39" s="9">
        <f t="shared" si="18"/>
        <v>0</v>
      </c>
      <c r="W39" s="9">
        <f t="shared" si="18"/>
        <v>0</v>
      </c>
      <c r="X39" s="9">
        <f t="shared" si="18"/>
        <v>0</v>
      </c>
      <c r="Y39" s="10">
        <f t="shared" si="18"/>
        <v>0</v>
      </c>
      <c r="Z39" s="10">
        <f t="shared" si="18"/>
        <v>0</v>
      </c>
      <c r="AA39" s="9">
        <f t="shared" si="18"/>
        <v>0</v>
      </c>
      <c r="AB39" s="9">
        <f t="shared" si="18"/>
        <v>0</v>
      </c>
      <c r="AC39" s="9">
        <f t="shared" si="18"/>
        <v>0</v>
      </c>
      <c r="AD39" s="9">
        <f t="shared" si="18"/>
        <v>33.333333333333336</v>
      </c>
      <c r="AE39" s="9">
        <f t="shared" si="18"/>
        <v>33.333333333333336</v>
      </c>
      <c r="AF39" s="10">
        <f t="shared" si="18"/>
        <v>0</v>
      </c>
      <c r="AG39" s="10">
        <f t="shared" si="18"/>
        <v>0</v>
      </c>
      <c r="AH39" s="9">
        <f t="shared" si="18"/>
        <v>33.333333333333336</v>
      </c>
      <c r="AI39" s="9">
        <f t="shared" si="18"/>
        <v>0</v>
      </c>
      <c r="AJ39" s="9">
        <f t="shared" si="18"/>
        <v>0</v>
      </c>
      <c r="AK39" s="9">
        <f t="shared" si="18"/>
        <v>0</v>
      </c>
      <c r="AL39" s="9">
        <f t="shared" si="18"/>
        <v>0</v>
      </c>
      <c r="AM39" s="10">
        <f t="shared" si="18"/>
        <v>0</v>
      </c>
      <c r="AN39" s="10">
        <f t="shared" si="18"/>
        <v>0</v>
      </c>
      <c r="AO39" s="9">
        <f t="shared" si="18"/>
        <v>0</v>
      </c>
      <c r="AP39" s="9">
        <f t="shared" si="18"/>
        <v>0</v>
      </c>
      <c r="AQ39" s="9">
        <f t="shared" si="18"/>
        <v>0</v>
      </c>
    </row>
    <row r="40" spans="1:43" x14ac:dyDescent="0.3">
      <c r="A40" s="24"/>
      <c r="B40" s="24"/>
      <c r="C40" s="24"/>
      <c r="D40" s="24"/>
      <c r="E40" s="24"/>
      <c r="F40" s="11" t="s">
        <v>53</v>
      </c>
      <c r="G40" s="12">
        <f>SUM($G39:G39)</f>
        <v>0</v>
      </c>
      <c r="H40" s="12">
        <f>SUM($G39:H39)</f>
        <v>0</v>
      </c>
      <c r="I40" s="12">
        <f>SUM($G39:I39)</f>
        <v>0</v>
      </c>
      <c r="J40" s="12">
        <f>SUM($G39:J39)</f>
        <v>0</v>
      </c>
      <c r="K40" s="13">
        <f>SUM($G39:K39)</f>
        <v>0</v>
      </c>
      <c r="L40" s="13">
        <f>SUM($G39:L39)</f>
        <v>0</v>
      </c>
      <c r="M40" s="12">
        <f>SUM($G39:M39)</f>
        <v>0</v>
      </c>
      <c r="N40" s="12">
        <f>SUM($G39:N39)</f>
        <v>0</v>
      </c>
      <c r="O40" s="12">
        <f>SUM($G39:O39)</f>
        <v>0</v>
      </c>
      <c r="P40" s="12">
        <f>SUM($G39:P39)</f>
        <v>0</v>
      </c>
      <c r="Q40" s="12">
        <f>SUM($G39:Q39)</f>
        <v>0</v>
      </c>
      <c r="R40" s="13">
        <f>SUM($G39:R39)</f>
        <v>0</v>
      </c>
      <c r="S40" s="13">
        <f>SUM($G39:S39)</f>
        <v>0</v>
      </c>
      <c r="T40" s="12">
        <f>SUM($G39:T39)</f>
        <v>0</v>
      </c>
      <c r="U40" s="12">
        <f>SUM($G39:U39)</f>
        <v>0</v>
      </c>
      <c r="V40" s="12">
        <f>SUM($G39:V39)</f>
        <v>0</v>
      </c>
      <c r="W40" s="12">
        <f>SUM($G39:W39)</f>
        <v>0</v>
      </c>
      <c r="X40" s="12">
        <f>SUM($G39:X39)</f>
        <v>0</v>
      </c>
      <c r="Y40" s="13">
        <f>SUM($G39:Y39)</f>
        <v>0</v>
      </c>
      <c r="Z40" s="13">
        <f>SUM($G39:Z39)</f>
        <v>0</v>
      </c>
      <c r="AA40" s="12">
        <f>SUM($G39:AA39)</f>
        <v>0</v>
      </c>
      <c r="AB40" s="12">
        <f>SUM($G39:AB39)</f>
        <v>0</v>
      </c>
      <c r="AC40" s="12">
        <f>SUM($G39:AC39)</f>
        <v>0</v>
      </c>
      <c r="AD40" s="12">
        <f>SUM($G39:AD39)</f>
        <v>33.333333333333336</v>
      </c>
      <c r="AE40" s="12">
        <f>SUM($G39:AE39)</f>
        <v>66.666666666666671</v>
      </c>
      <c r="AF40" s="13">
        <f>SUM($G39:AF39)</f>
        <v>66.666666666666671</v>
      </c>
      <c r="AG40" s="13">
        <f>SUM($G39:AG39)</f>
        <v>66.666666666666671</v>
      </c>
      <c r="AH40" s="12">
        <f>SUM($G39:AH39)</f>
        <v>100</v>
      </c>
      <c r="AI40" s="12">
        <f>SUM($G39:AI39)</f>
        <v>100</v>
      </c>
      <c r="AJ40" s="12">
        <f>SUM($G39:AJ39)</f>
        <v>100</v>
      </c>
      <c r="AK40" s="12">
        <f>SUM($G39:AK39)</f>
        <v>100</v>
      </c>
      <c r="AL40" s="12">
        <f>SUM($G39:AL39)</f>
        <v>100</v>
      </c>
      <c r="AM40" s="13">
        <f>SUM($G39:AM39)</f>
        <v>100</v>
      </c>
      <c r="AN40" s="13">
        <f>SUM($G39:AN39)</f>
        <v>100</v>
      </c>
      <c r="AO40" s="12">
        <f>SUM($G39:AO39)</f>
        <v>100</v>
      </c>
      <c r="AP40" s="12">
        <f>SUM($G39:AP39)</f>
        <v>100</v>
      </c>
      <c r="AQ40" s="12">
        <f>SUM($G39:AQ39)</f>
        <v>100</v>
      </c>
    </row>
    <row r="41" spans="1:43" x14ac:dyDescent="0.3">
      <c r="A41" s="24" t="s">
        <v>99</v>
      </c>
      <c r="B41" s="25" t="s">
        <v>72</v>
      </c>
      <c r="C41" s="23">
        <v>46294</v>
      </c>
      <c r="D41" s="23">
        <v>46302</v>
      </c>
      <c r="E41" s="24">
        <v>7</v>
      </c>
      <c r="F41" s="4" t="s">
        <v>52</v>
      </c>
      <c r="G41" s="9">
        <f t="shared" ref="G41:AQ41" si="19">IF(AND(G$2&gt;=$C41,G$2&lt;=$D41,WEEKDAY(G$2,2)&lt;=5),100/$E41,0)</f>
        <v>0</v>
      </c>
      <c r="H41" s="9">
        <f t="shared" si="19"/>
        <v>0</v>
      </c>
      <c r="I41" s="9">
        <f t="shared" si="19"/>
        <v>0</v>
      </c>
      <c r="J41" s="9">
        <f t="shared" si="19"/>
        <v>0</v>
      </c>
      <c r="K41" s="10">
        <f t="shared" si="19"/>
        <v>0</v>
      </c>
      <c r="L41" s="10">
        <f t="shared" si="19"/>
        <v>0</v>
      </c>
      <c r="M41" s="9">
        <f t="shared" si="19"/>
        <v>0</v>
      </c>
      <c r="N41" s="9">
        <f t="shared" si="19"/>
        <v>0</v>
      </c>
      <c r="O41" s="9">
        <f t="shared" si="19"/>
        <v>0</v>
      </c>
      <c r="P41" s="9">
        <f t="shared" si="19"/>
        <v>0</v>
      </c>
      <c r="Q41" s="9">
        <f t="shared" si="19"/>
        <v>0</v>
      </c>
      <c r="R41" s="10">
        <f t="shared" si="19"/>
        <v>0</v>
      </c>
      <c r="S41" s="10">
        <f t="shared" si="19"/>
        <v>0</v>
      </c>
      <c r="T41" s="9">
        <f t="shared" si="19"/>
        <v>0</v>
      </c>
      <c r="U41" s="9">
        <f t="shared" si="19"/>
        <v>0</v>
      </c>
      <c r="V41" s="9">
        <f t="shared" si="19"/>
        <v>0</v>
      </c>
      <c r="W41" s="9">
        <f t="shared" si="19"/>
        <v>0</v>
      </c>
      <c r="X41" s="9">
        <f t="shared" si="19"/>
        <v>0</v>
      </c>
      <c r="Y41" s="10">
        <f t="shared" si="19"/>
        <v>0</v>
      </c>
      <c r="Z41" s="10">
        <f t="shared" si="19"/>
        <v>0</v>
      </c>
      <c r="AA41" s="9">
        <f t="shared" si="19"/>
        <v>0</v>
      </c>
      <c r="AB41" s="9">
        <f t="shared" si="19"/>
        <v>0</v>
      </c>
      <c r="AC41" s="9">
        <f t="shared" si="19"/>
        <v>0</v>
      </c>
      <c r="AD41" s="9">
        <f t="shared" si="19"/>
        <v>0</v>
      </c>
      <c r="AE41" s="9">
        <f t="shared" si="19"/>
        <v>0</v>
      </c>
      <c r="AF41" s="10">
        <f t="shared" si="19"/>
        <v>0</v>
      </c>
      <c r="AG41" s="10">
        <f t="shared" si="19"/>
        <v>0</v>
      </c>
      <c r="AH41" s="9">
        <f t="shared" si="19"/>
        <v>0</v>
      </c>
      <c r="AI41" s="9">
        <f t="shared" si="19"/>
        <v>14.285714285714286</v>
      </c>
      <c r="AJ41" s="9">
        <f t="shared" si="19"/>
        <v>14.285714285714286</v>
      </c>
      <c r="AK41" s="9">
        <f t="shared" si="19"/>
        <v>14.285714285714286</v>
      </c>
      <c r="AL41" s="9">
        <f t="shared" si="19"/>
        <v>14.285714285714286</v>
      </c>
      <c r="AM41" s="10">
        <f t="shared" si="19"/>
        <v>0</v>
      </c>
      <c r="AN41" s="10">
        <f t="shared" si="19"/>
        <v>0</v>
      </c>
      <c r="AO41" s="9">
        <f t="shared" si="19"/>
        <v>14.285714285714286</v>
      </c>
      <c r="AP41" s="9">
        <f t="shared" si="19"/>
        <v>14.285714285714286</v>
      </c>
      <c r="AQ41" s="9">
        <f t="shared" si="19"/>
        <v>14.285714285714286</v>
      </c>
    </row>
    <row r="42" spans="1:43" x14ac:dyDescent="0.3">
      <c r="A42" s="24"/>
      <c r="B42" s="24"/>
      <c r="C42" s="24"/>
      <c r="D42" s="24"/>
      <c r="E42" s="24"/>
      <c r="F42" s="11" t="s">
        <v>53</v>
      </c>
      <c r="G42" s="12">
        <f>SUM($G41:G41)</f>
        <v>0</v>
      </c>
      <c r="H42" s="12">
        <f>SUM($G41:H41)</f>
        <v>0</v>
      </c>
      <c r="I42" s="12">
        <f>SUM($G41:I41)</f>
        <v>0</v>
      </c>
      <c r="J42" s="12">
        <f>SUM($G41:J41)</f>
        <v>0</v>
      </c>
      <c r="K42" s="13">
        <f>SUM($G41:K41)</f>
        <v>0</v>
      </c>
      <c r="L42" s="13">
        <f>SUM($G41:L41)</f>
        <v>0</v>
      </c>
      <c r="M42" s="12">
        <f>SUM($G41:M41)</f>
        <v>0</v>
      </c>
      <c r="N42" s="12">
        <f>SUM($G41:N41)</f>
        <v>0</v>
      </c>
      <c r="O42" s="12">
        <f>SUM($G41:O41)</f>
        <v>0</v>
      </c>
      <c r="P42" s="12">
        <f>SUM($G41:P41)</f>
        <v>0</v>
      </c>
      <c r="Q42" s="12">
        <f>SUM($G41:Q41)</f>
        <v>0</v>
      </c>
      <c r="R42" s="13">
        <f>SUM($G41:R41)</f>
        <v>0</v>
      </c>
      <c r="S42" s="13">
        <f>SUM($G41:S41)</f>
        <v>0</v>
      </c>
      <c r="T42" s="12">
        <f>SUM($G41:T41)</f>
        <v>0</v>
      </c>
      <c r="U42" s="12">
        <f>SUM($G41:U41)</f>
        <v>0</v>
      </c>
      <c r="V42" s="12">
        <f>SUM($G41:V41)</f>
        <v>0</v>
      </c>
      <c r="W42" s="12">
        <f>SUM($G41:W41)</f>
        <v>0</v>
      </c>
      <c r="X42" s="12">
        <f>SUM($G41:X41)</f>
        <v>0</v>
      </c>
      <c r="Y42" s="13">
        <f>SUM($G41:Y41)</f>
        <v>0</v>
      </c>
      <c r="Z42" s="13">
        <f>SUM($G41:Z41)</f>
        <v>0</v>
      </c>
      <c r="AA42" s="12">
        <f>SUM($G41:AA41)</f>
        <v>0</v>
      </c>
      <c r="AB42" s="12">
        <f>SUM($G41:AB41)</f>
        <v>0</v>
      </c>
      <c r="AC42" s="12">
        <f>SUM($G41:AC41)</f>
        <v>0</v>
      </c>
      <c r="AD42" s="12">
        <f>SUM($G41:AD41)</f>
        <v>0</v>
      </c>
      <c r="AE42" s="12">
        <f>SUM($G41:AE41)</f>
        <v>0</v>
      </c>
      <c r="AF42" s="13">
        <f>SUM($G41:AF41)</f>
        <v>0</v>
      </c>
      <c r="AG42" s="13">
        <f>SUM($G41:AG41)</f>
        <v>0</v>
      </c>
      <c r="AH42" s="12">
        <f>SUM($G41:AH41)</f>
        <v>0</v>
      </c>
      <c r="AI42" s="12">
        <f>SUM($G41:AI41)</f>
        <v>14.285714285714286</v>
      </c>
      <c r="AJ42" s="12">
        <f>SUM($G41:AJ41)</f>
        <v>28.571428571428573</v>
      </c>
      <c r="AK42" s="12">
        <f>SUM($G41:AK41)</f>
        <v>42.857142857142861</v>
      </c>
      <c r="AL42" s="12">
        <f>SUM($G41:AL41)</f>
        <v>57.142857142857146</v>
      </c>
      <c r="AM42" s="13">
        <f>SUM($G41:AM41)</f>
        <v>57.142857142857146</v>
      </c>
      <c r="AN42" s="13">
        <f>SUM($G41:AN41)</f>
        <v>57.142857142857146</v>
      </c>
      <c r="AO42" s="12">
        <f>SUM($G41:AO41)</f>
        <v>71.428571428571431</v>
      </c>
      <c r="AP42" s="12">
        <f>SUM($G41:AP41)</f>
        <v>85.714285714285722</v>
      </c>
      <c r="AQ42" s="12">
        <f>SUM($G41:AQ41)</f>
        <v>100.00000000000001</v>
      </c>
    </row>
    <row r="43" spans="1:43" x14ac:dyDescent="0.3">
      <c r="A43" s="21" t="s">
        <v>102</v>
      </c>
      <c r="B43" s="22" t="s">
        <v>73</v>
      </c>
      <c r="C43" s="23">
        <v>46279</v>
      </c>
      <c r="D43" s="23">
        <v>46300</v>
      </c>
      <c r="E43" s="24">
        <v>16</v>
      </c>
      <c r="F43" s="4" t="s">
        <v>52</v>
      </c>
      <c r="G43" s="9">
        <f t="shared" ref="G43:AQ43" si="20">IF(AND(G$2&gt;=$C43,G$2&lt;=$D43,WEEKDAY(G$2,2)&lt;=5),100/$E43,0)</f>
        <v>0</v>
      </c>
      <c r="H43" s="9">
        <f t="shared" si="20"/>
        <v>0</v>
      </c>
      <c r="I43" s="9">
        <f t="shared" si="20"/>
        <v>0</v>
      </c>
      <c r="J43" s="9">
        <f t="shared" si="20"/>
        <v>0</v>
      </c>
      <c r="K43" s="10">
        <f t="shared" si="20"/>
        <v>0</v>
      </c>
      <c r="L43" s="10">
        <f t="shared" si="20"/>
        <v>0</v>
      </c>
      <c r="M43" s="9">
        <f t="shared" si="20"/>
        <v>0</v>
      </c>
      <c r="N43" s="9">
        <f t="shared" si="20"/>
        <v>0</v>
      </c>
      <c r="O43" s="9">
        <f t="shared" si="20"/>
        <v>0</v>
      </c>
      <c r="P43" s="9">
        <f t="shared" si="20"/>
        <v>0</v>
      </c>
      <c r="Q43" s="9">
        <f t="shared" si="20"/>
        <v>0</v>
      </c>
      <c r="R43" s="10">
        <f t="shared" si="20"/>
        <v>0</v>
      </c>
      <c r="S43" s="10">
        <f t="shared" si="20"/>
        <v>0</v>
      </c>
      <c r="T43" s="9">
        <f t="shared" si="20"/>
        <v>6.25</v>
      </c>
      <c r="U43" s="9">
        <f t="shared" si="20"/>
        <v>6.25</v>
      </c>
      <c r="V43" s="9">
        <f t="shared" si="20"/>
        <v>6.25</v>
      </c>
      <c r="W43" s="9">
        <f t="shared" si="20"/>
        <v>6.25</v>
      </c>
      <c r="X43" s="9">
        <f t="shared" si="20"/>
        <v>6.25</v>
      </c>
      <c r="Y43" s="10">
        <f t="shared" si="20"/>
        <v>0</v>
      </c>
      <c r="Z43" s="10">
        <f t="shared" si="20"/>
        <v>0</v>
      </c>
      <c r="AA43" s="9">
        <f t="shared" si="20"/>
        <v>6.25</v>
      </c>
      <c r="AB43" s="9">
        <f t="shared" si="20"/>
        <v>6.25</v>
      </c>
      <c r="AC43" s="9">
        <f t="shared" si="20"/>
        <v>6.25</v>
      </c>
      <c r="AD43" s="9">
        <f t="shared" si="20"/>
        <v>6.25</v>
      </c>
      <c r="AE43" s="9">
        <f t="shared" si="20"/>
        <v>6.25</v>
      </c>
      <c r="AF43" s="10">
        <f t="shared" si="20"/>
        <v>0</v>
      </c>
      <c r="AG43" s="10">
        <f t="shared" si="20"/>
        <v>0</v>
      </c>
      <c r="AH43" s="9">
        <f t="shared" si="20"/>
        <v>6.25</v>
      </c>
      <c r="AI43" s="9">
        <f t="shared" si="20"/>
        <v>6.25</v>
      </c>
      <c r="AJ43" s="9">
        <f t="shared" si="20"/>
        <v>6.25</v>
      </c>
      <c r="AK43" s="9">
        <f t="shared" si="20"/>
        <v>6.25</v>
      </c>
      <c r="AL43" s="9">
        <f t="shared" si="20"/>
        <v>6.25</v>
      </c>
      <c r="AM43" s="10">
        <f t="shared" si="20"/>
        <v>0</v>
      </c>
      <c r="AN43" s="10">
        <f t="shared" si="20"/>
        <v>0</v>
      </c>
      <c r="AO43" s="9">
        <f t="shared" si="20"/>
        <v>6.25</v>
      </c>
      <c r="AP43" s="9">
        <f t="shared" si="20"/>
        <v>0</v>
      </c>
      <c r="AQ43" s="9">
        <f t="shared" si="20"/>
        <v>0</v>
      </c>
    </row>
    <row r="44" spans="1:43" x14ac:dyDescent="0.3">
      <c r="A44" s="21"/>
      <c r="B44" s="21"/>
      <c r="C44" s="21"/>
      <c r="D44" s="21"/>
      <c r="E44" s="21"/>
      <c r="F44" s="11" t="s">
        <v>53</v>
      </c>
      <c r="G44" s="12">
        <f>SUM($G43:G43)</f>
        <v>0</v>
      </c>
      <c r="H44" s="12">
        <f>SUM($G43:H43)</f>
        <v>0</v>
      </c>
      <c r="I44" s="12">
        <f>SUM($G43:I43)</f>
        <v>0</v>
      </c>
      <c r="J44" s="12">
        <f>SUM($G43:J43)</f>
        <v>0</v>
      </c>
      <c r="K44" s="13">
        <f>SUM($G43:K43)</f>
        <v>0</v>
      </c>
      <c r="L44" s="13">
        <f>SUM($G43:L43)</f>
        <v>0</v>
      </c>
      <c r="M44" s="12">
        <f>SUM($G43:M43)</f>
        <v>0</v>
      </c>
      <c r="N44" s="12">
        <f>SUM($G43:N43)</f>
        <v>0</v>
      </c>
      <c r="O44" s="12">
        <f>SUM($G43:O43)</f>
        <v>0</v>
      </c>
      <c r="P44" s="12">
        <f>SUM($G43:P43)</f>
        <v>0</v>
      </c>
      <c r="Q44" s="12">
        <f>SUM($G43:Q43)</f>
        <v>0</v>
      </c>
      <c r="R44" s="13">
        <f>SUM($G43:R43)</f>
        <v>0</v>
      </c>
      <c r="S44" s="13">
        <f>SUM($G43:S43)</f>
        <v>0</v>
      </c>
      <c r="T44" s="12">
        <f>SUM($G43:T43)</f>
        <v>6.25</v>
      </c>
      <c r="U44" s="12">
        <f>SUM($G43:U43)</f>
        <v>12.5</v>
      </c>
      <c r="V44" s="12">
        <f>SUM($G43:V43)</f>
        <v>18.75</v>
      </c>
      <c r="W44" s="12">
        <f>SUM($G43:W43)</f>
        <v>25</v>
      </c>
      <c r="X44" s="12">
        <f>SUM($G43:X43)</f>
        <v>31.25</v>
      </c>
      <c r="Y44" s="13">
        <f>SUM($G43:Y43)</f>
        <v>31.25</v>
      </c>
      <c r="Z44" s="13">
        <f>SUM($G43:Z43)</f>
        <v>31.25</v>
      </c>
      <c r="AA44" s="12">
        <f>SUM($G43:AA43)</f>
        <v>37.5</v>
      </c>
      <c r="AB44" s="12">
        <f>SUM($G43:AB43)</f>
        <v>43.75</v>
      </c>
      <c r="AC44" s="12">
        <f>SUM($G43:AC43)</f>
        <v>50</v>
      </c>
      <c r="AD44" s="12">
        <f>SUM($G43:AD43)</f>
        <v>56.25</v>
      </c>
      <c r="AE44" s="12">
        <f>SUM($G43:AE43)</f>
        <v>62.5</v>
      </c>
      <c r="AF44" s="13">
        <f>SUM($G43:AF43)</f>
        <v>62.5</v>
      </c>
      <c r="AG44" s="13">
        <f>SUM($G43:AG43)</f>
        <v>62.5</v>
      </c>
      <c r="AH44" s="12">
        <f>SUM($G43:AH43)</f>
        <v>68.75</v>
      </c>
      <c r="AI44" s="12">
        <f>SUM($G43:AI43)</f>
        <v>75</v>
      </c>
      <c r="AJ44" s="12">
        <f>SUM($G43:AJ43)</f>
        <v>81.25</v>
      </c>
      <c r="AK44" s="12">
        <f>SUM($G43:AK43)</f>
        <v>87.5</v>
      </c>
      <c r="AL44" s="12">
        <f>SUM($G43:AL43)</f>
        <v>93.75</v>
      </c>
      <c r="AM44" s="13">
        <f>SUM($G43:AM43)</f>
        <v>93.75</v>
      </c>
      <c r="AN44" s="13">
        <f>SUM($G43:AN43)</f>
        <v>93.75</v>
      </c>
      <c r="AO44" s="12">
        <f>SUM($G43:AO43)</f>
        <v>100</v>
      </c>
      <c r="AP44" s="12">
        <f>SUM($G43:AP43)</f>
        <v>100</v>
      </c>
      <c r="AQ44" s="12">
        <f>SUM($G43:AQ43)</f>
        <v>100</v>
      </c>
    </row>
    <row r="45" spans="1:43" x14ac:dyDescent="0.3">
      <c r="A45" s="24" t="s">
        <v>103</v>
      </c>
      <c r="B45" s="25" t="s">
        <v>74</v>
      </c>
      <c r="C45" s="23">
        <v>46279</v>
      </c>
      <c r="D45" s="23">
        <v>46286</v>
      </c>
      <c r="E45" s="24">
        <v>6</v>
      </c>
      <c r="F45" s="4" t="s">
        <v>52</v>
      </c>
      <c r="G45" s="9">
        <f t="shared" ref="G45:AQ45" si="21">IF(AND(G$2&gt;=$C45,G$2&lt;=$D45,WEEKDAY(G$2,2)&lt;=5),100/$E45,0)</f>
        <v>0</v>
      </c>
      <c r="H45" s="9">
        <f t="shared" si="21"/>
        <v>0</v>
      </c>
      <c r="I45" s="9">
        <f t="shared" si="21"/>
        <v>0</v>
      </c>
      <c r="J45" s="9">
        <f t="shared" si="21"/>
        <v>0</v>
      </c>
      <c r="K45" s="10">
        <f t="shared" si="21"/>
        <v>0</v>
      </c>
      <c r="L45" s="10">
        <f t="shared" si="21"/>
        <v>0</v>
      </c>
      <c r="M45" s="9">
        <f t="shared" si="21"/>
        <v>0</v>
      </c>
      <c r="N45" s="9">
        <f t="shared" si="21"/>
        <v>0</v>
      </c>
      <c r="O45" s="9">
        <f t="shared" si="21"/>
        <v>0</v>
      </c>
      <c r="P45" s="9">
        <f t="shared" si="21"/>
        <v>0</v>
      </c>
      <c r="Q45" s="9">
        <f t="shared" si="21"/>
        <v>0</v>
      </c>
      <c r="R45" s="10">
        <f t="shared" si="21"/>
        <v>0</v>
      </c>
      <c r="S45" s="10">
        <f t="shared" si="21"/>
        <v>0</v>
      </c>
      <c r="T45" s="9">
        <f t="shared" si="21"/>
        <v>16.666666666666668</v>
      </c>
      <c r="U45" s="9">
        <f t="shared" si="21"/>
        <v>16.666666666666668</v>
      </c>
      <c r="V45" s="9">
        <f t="shared" si="21"/>
        <v>16.666666666666668</v>
      </c>
      <c r="W45" s="9">
        <f t="shared" si="21"/>
        <v>16.666666666666668</v>
      </c>
      <c r="X45" s="9">
        <f t="shared" si="21"/>
        <v>16.666666666666668</v>
      </c>
      <c r="Y45" s="10">
        <f t="shared" si="21"/>
        <v>0</v>
      </c>
      <c r="Z45" s="10">
        <f t="shared" si="21"/>
        <v>0</v>
      </c>
      <c r="AA45" s="9">
        <f t="shared" si="21"/>
        <v>16.666666666666668</v>
      </c>
      <c r="AB45" s="9">
        <f t="shared" si="21"/>
        <v>0</v>
      </c>
      <c r="AC45" s="9">
        <f t="shared" si="21"/>
        <v>0</v>
      </c>
      <c r="AD45" s="9">
        <f t="shared" si="21"/>
        <v>0</v>
      </c>
      <c r="AE45" s="9">
        <f t="shared" si="21"/>
        <v>0</v>
      </c>
      <c r="AF45" s="10">
        <f t="shared" si="21"/>
        <v>0</v>
      </c>
      <c r="AG45" s="10">
        <f t="shared" si="21"/>
        <v>0</v>
      </c>
      <c r="AH45" s="9">
        <f t="shared" si="21"/>
        <v>0</v>
      </c>
      <c r="AI45" s="9">
        <f t="shared" si="21"/>
        <v>0</v>
      </c>
      <c r="AJ45" s="9">
        <f t="shared" si="21"/>
        <v>0</v>
      </c>
      <c r="AK45" s="9">
        <f t="shared" si="21"/>
        <v>0</v>
      </c>
      <c r="AL45" s="9">
        <f t="shared" si="21"/>
        <v>0</v>
      </c>
      <c r="AM45" s="10">
        <f t="shared" si="21"/>
        <v>0</v>
      </c>
      <c r="AN45" s="10">
        <f t="shared" si="21"/>
        <v>0</v>
      </c>
      <c r="AO45" s="9">
        <f t="shared" si="21"/>
        <v>0</v>
      </c>
      <c r="AP45" s="9">
        <f t="shared" si="21"/>
        <v>0</v>
      </c>
      <c r="AQ45" s="9">
        <f t="shared" si="21"/>
        <v>0</v>
      </c>
    </row>
    <row r="46" spans="1:43" x14ac:dyDescent="0.3">
      <c r="A46" s="24"/>
      <c r="B46" s="24"/>
      <c r="C46" s="24"/>
      <c r="D46" s="24"/>
      <c r="E46" s="24"/>
      <c r="F46" s="11" t="s">
        <v>53</v>
      </c>
      <c r="G46" s="12">
        <f>SUM($G45:G45)</f>
        <v>0</v>
      </c>
      <c r="H46" s="12">
        <f>SUM($G45:H45)</f>
        <v>0</v>
      </c>
      <c r="I46" s="12">
        <f>SUM($G45:I45)</f>
        <v>0</v>
      </c>
      <c r="J46" s="12">
        <f>SUM($G45:J45)</f>
        <v>0</v>
      </c>
      <c r="K46" s="13">
        <f>SUM($G45:K45)</f>
        <v>0</v>
      </c>
      <c r="L46" s="13">
        <f>SUM($G45:L45)</f>
        <v>0</v>
      </c>
      <c r="M46" s="12">
        <f>SUM($G45:M45)</f>
        <v>0</v>
      </c>
      <c r="N46" s="12">
        <f>SUM($G45:N45)</f>
        <v>0</v>
      </c>
      <c r="O46" s="12">
        <f>SUM($G45:O45)</f>
        <v>0</v>
      </c>
      <c r="P46" s="12">
        <f>SUM($G45:P45)</f>
        <v>0</v>
      </c>
      <c r="Q46" s="12">
        <f>SUM($G45:Q45)</f>
        <v>0</v>
      </c>
      <c r="R46" s="13">
        <f>SUM($G45:R45)</f>
        <v>0</v>
      </c>
      <c r="S46" s="13">
        <f>SUM($G45:S45)</f>
        <v>0</v>
      </c>
      <c r="T46" s="12">
        <f>SUM($G45:T45)</f>
        <v>16.666666666666668</v>
      </c>
      <c r="U46" s="12">
        <f>SUM($G45:U45)</f>
        <v>33.333333333333336</v>
      </c>
      <c r="V46" s="12">
        <f>SUM($G45:V45)</f>
        <v>50</v>
      </c>
      <c r="W46" s="12">
        <f>SUM($G45:W45)</f>
        <v>66.666666666666671</v>
      </c>
      <c r="X46" s="12">
        <f>SUM($G45:X45)</f>
        <v>83.333333333333343</v>
      </c>
      <c r="Y46" s="13">
        <f>SUM($G45:Y45)</f>
        <v>83.333333333333343</v>
      </c>
      <c r="Z46" s="13">
        <f>SUM($G45:Z45)</f>
        <v>83.333333333333343</v>
      </c>
      <c r="AA46" s="12">
        <f>SUM($G45:AA45)</f>
        <v>100.00000000000001</v>
      </c>
      <c r="AB46" s="12">
        <f>SUM($G45:AB45)</f>
        <v>100.00000000000001</v>
      </c>
      <c r="AC46" s="12">
        <f>SUM($G45:AC45)</f>
        <v>100.00000000000001</v>
      </c>
      <c r="AD46" s="12">
        <f>SUM($G45:AD45)</f>
        <v>100.00000000000001</v>
      </c>
      <c r="AE46" s="12">
        <f>SUM($G45:AE45)</f>
        <v>100.00000000000001</v>
      </c>
      <c r="AF46" s="13">
        <f>SUM($G45:AF45)</f>
        <v>100.00000000000001</v>
      </c>
      <c r="AG46" s="13">
        <f>SUM($G45:AG45)</f>
        <v>100.00000000000001</v>
      </c>
      <c r="AH46" s="12">
        <f>SUM($G45:AH45)</f>
        <v>100.00000000000001</v>
      </c>
      <c r="AI46" s="12">
        <f>SUM($G45:AI45)</f>
        <v>100.00000000000001</v>
      </c>
      <c r="AJ46" s="12">
        <f>SUM($G45:AJ45)</f>
        <v>100.00000000000001</v>
      </c>
      <c r="AK46" s="12">
        <f>SUM($G45:AK45)</f>
        <v>100.00000000000001</v>
      </c>
      <c r="AL46" s="12">
        <f>SUM($G45:AL45)</f>
        <v>100.00000000000001</v>
      </c>
      <c r="AM46" s="13">
        <f>SUM($G45:AM45)</f>
        <v>100.00000000000001</v>
      </c>
      <c r="AN46" s="13">
        <f>SUM($G45:AN45)</f>
        <v>100.00000000000001</v>
      </c>
      <c r="AO46" s="12">
        <f>SUM($G45:AO45)</f>
        <v>100.00000000000001</v>
      </c>
      <c r="AP46" s="12">
        <f>SUM($G45:AP45)</f>
        <v>100.00000000000001</v>
      </c>
      <c r="AQ46" s="12">
        <f>SUM($G45:AQ45)</f>
        <v>100.00000000000001</v>
      </c>
    </row>
    <row r="47" spans="1:43" x14ac:dyDescent="0.3">
      <c r="A47" s="24" t="s">
        <v>104</v>
      </c>
      <c r="B47" s="25" t="s">
        <v>75</v>
      </c>
      <c r="C47" s="23">
        <v>46287</v>
      </c>
      <c r="D47" s="23">
        <v>46300</v>
      </c>
      <c r="E47" s="24">
        <v>10</v>
      </c>
      <c r="F47" s="4" t="s">
        <v>52</v>
      </c>
      <c r="G47" s="9">
        <f t="shared" ref="G47:AQ47" si="22">IF(AND(G$2&gt;=$C47,G$2&lt;=$D47,WEEKDAY(G$2,2)&lt;=5),100/$E47,0)</f>
        <v>0</v>
      </c>
      <c r="H47" s="9">
        <f t="shared" si="22"/>
        <v>0</v>
      </c>
      <c r="I47" s="9">
        <f t="shared" si="22"/>
        <v>0</v>
      </c>
      <c r="J47" s="9">
        <f t="shared" si="22"/>
        <v>0</v>
      </c>
      <c r="K47" s="10">
        <f t="shared" si="22"/>
        <v>0</v>
      </c>
      <c r="L47" s="10">
        <f t="shared" si="22"/>
        <v>0</v>
      </c>
      <c r="M47" s="9">
        <f t="shared" si="22"/>
        <v>0</v>
      </c>
      <c r="N47" s="9">
        <f t="shared" si="22"/>
        <v>0</v>
      </c>
      <c r="O47" s="9">
        <f t="shared" si="22"/>
        <v>0</v>
      </c>
      <c r="P47" s="9">
        <f t="shared" si="22"/>
        <v>0</v>
      </c>
      <c r="Q47" s="9">
        <f t="shared" si="22"/>
        <v>0</v>
      </c>
      <c r="R47" s="10">
        <f t="shared" si="22"/>
        <v>0</v>
      </c>
      <c r="S47" s="10">
        <f t="shared" si="22"/>
        <v>0</v>
      </c>
      <c r="T47" s="9">
        <f t="shared" si="22"/>
        <v>0</v>
      </c>
      <c r="U47" s="9">
        <f t="shared" si="22"/>
        <v>0</v>
      </c>
      <c r="V47" s="9">
        <f t="shared" si="22"/>
        <v>0</v>
      </c>
      <c r="W47" s="9">
        <f t="shared" si="22"/>
        <v>0</v>
      </c>
      <c r="X47" s="9">
        <f t="shared" si="22"/>
        <v>0</v>
      </c>
      <c r="Y47" s="10">
        <f t="shared" si="22"/>
        <v>0</v>
      </c>
      <c r="Z47" s="10">
        <f t="shared" si="22"/>
        <v>0</v>
      </c>
      <c r="AA47" s="9">
        <f t="shared" si="22"/>
        <v>0</v>
      </c>
      <c r="AB47" s="9">
        <f t="shared" si="22"/>
        <v>10</v>
      </c>
      <c r="AC47" s="9">
        <f t="shared" si="22"/>
        <v>10</v>
      </c>
      <c r="AD47" s="9">
        <f t="shared" si="22"/>
        <v>10</v>
      </c>
      <c r="AE47" s="9">
        <f t="shared" si="22"/>
        <v>10</v>
      </c>
      <c r="AF47" s="10">
        <f t="shared" si="22"/>
        <v>0</v>
      </c>
      <c r="AG47" s="10">
        <f t="shared" si="22"/>
        <v>0</v>
      </c>
      <c r="AH47" s="9">
        <f t="shared" si="22"/>
        <v>10</v>
      </c>
      <c r="AI47" s="9">
        <f t="shared" si="22"/>
        <v>10</v>
      </c>
      <c r="AJ47" s="9">
        <f t="shared" si="22"/>
        <v>10</v>
      </c>
      <c r="AK47" s="9">
        <f t="shared" si="22"/>
        <v>10</v>
      </c>
      <c r="AL47" s="9">
        <f t="shared" si="22"/>
        <v>10</v>
      </c>
      <c r="AM47" s="10">
        <f t="shared" si="22"/>
        <v>0</v>
      </c>
      <c r="AN47" s="10">
        <f t="shared" si="22"/>
        <v>0</v>
      </c>
      <c r="AO47" s="9">
        <f t="shared" si="22"/>
        <v>10</v>
      </c>
      <c r="AP47" s="9">
        <f t="shared" si="22"/>
        <v>0</v>
      </c>
      <c r="AQ47" s="9">
        <f t="shared" si="22"/>
        <v>0</v>
      </c>
    </row>
    <row r="48" spans="1:43" x14ac:dyDescent="0.3">
      <c r="A48" s="24"/>
      <c r="B48" s="24"/>
      <c r="C48" s="24"/>
      <c r="D48" s="24"/>
      <c r="E48" s="24"/>
      <c r="F48" s="11" t="s">
        <v>53</v>
      </c>
      <c r="G48" s="12">
        <f>SUM($G47:G47)</f>
        <v>0</v>
      </c>
      <c r="H48" s="12">
        <f>SUM($G47:H47)</f>
        <v>0</v>
      </c>
      <c r="I48" s="12">
        <f>SUM($G47:I47)</f>
        <v>0</v>
      </c>
      <c r="J48" s="12">
        <f>SUM($G47:J47)</f>
        <v>0</v>
      </c>
      <c r="K48" s="13">
        <f>SUM($G47:K47)</f>
        <v>0</v>
      </c>
      <c r="L48" s="13">
        <f>SUM($G47:L47)</f>
        <v>0</v>
      </c>
      <c r="M48" s="12">
        <f>SUM($G47:M47)</f>
        <v>0</v>
      </c>
      <c r="N48" s="12">
        <f>SUM($G47:N47)</f>
        <v>0</v>
      </c>
      <c r="O48" s="12">
        <f>SUM($G47:O47)</f>
        <v>0</v>
      </c>
      <c r="P48" s="12">
        <f>SUM($G47:P47)</f>
        <v>0</v>
      </c>
      <c r="Q48" s="12">
        <f>SUM($G47:Q47)</f>
        <v>0</v>
      </c>
      <c r="R48" s="13">
        <f>SUM($G47:R47)</f>
        <v>0</v>
      </c>
      <c r="S48" s="13">
        <f>SUM($G47:S47)</f>
        <v>0</v>
      </c>
      <c r="T48" s="12">
        <f>SUM($G47:T47)</f>
        <v>0</v>
      </c>
      <c r="U48" s="12">
        <f>SUM($G47:U47)</f>
        <v>0</v>
      </c>
      <c r="V48" s="12">
        <f>SUM($G47:V47)</f>
        <v>0</v>
      </c>
      <c r="W48" s="12">
        <f>SUM($G47:W47)</f>
        <v>0</v>
      </c>
      <c r="X48" s="12">
        <f>SUM($G47:X47)</f>
        <v>0</v>
      </c>
      <c r="Y48" s="13">
        <f>SUM($G47:Y47)</f>
        <v>0</v>
      </c>
      <c r="Z48" s="13">
        <f>SUM($G47:Z47)</f>
        <v>0</v>
      </c>
      <c r="AA48" s="12">
        <f>SUM($G47:AA47)</f>
        <v>0</v>
      </c>
      <c r="AB48" s="12">
        <f>SUM($G47:AB47)</f>
        <v>10</v>
      </c>
      <c r="AC48" s="12">
        <f>SUM($G47:AC47)</f>
        <v>20</v>
      </c>
      <c r="AD48" s="12">
        <f>SUM($G47:AD47)</f>
        <v>30</v>
      </c>
      <c r="AE48" s="12">
        <f>SUM($G47:AE47)</f>
        <v>40</v>
      </c>
      <c r="AF48" s="13">
        <f>SUM($G47:AF47)</f>
        <v>40</v>
      </c>
      <c r="AG48" s="13">
        <f>SUM($G47:AG47)</f>
        <v>40</v>
      </c>
      <c r="AH48" s="12">
        <f>SUM($G47:AH47)</f>
        <v>50</v>
      </c>
      <c r="AI48" s="12">
        <f>SUM($G47:AI47)</f>
        <v>60</v>
      </c>
      <c r="AJ48" s="12">
        <f>SUM($G47:AJ47)</f>
        <v>70</v>
      </c>
      <c r="AK48" s="12">
        <f>SUM($G47:AK47)</f>
        <v>80</v>
      </c>
      <c r="AL48" s="12">
        <f>SUM($G47:AL47)</f>
        <v>90</v>
      </c>
      <c r="AM48" s="13">
        <f>SUM($G47:AM47)</f>
        <v>90</v>
      </c>
      <c r="AN48" s="13">
        <f>SUM($G47:AN47)</f>
        <v>90</v>
      </c>
      <c r="AO48" s="12">
        <f>SUM($G47:AO47)</f>
        <v>100</v>
      </c>
      <c r="AP48" s="12">
        <f>SUM($G47:AP47)</f>
        <v>100</v>
      </c>
      <c r="AQ48" s="12">
        <f>SUM($G47:AQ47)</f>
        <v>100</v>
      </c>
    </row>
    <row r="49" spans="1:43" x14ac:dyDescent="0.3">
      <c r="A49" s="24" t="s">
        <v>105</v>
      </c>
      <c r="B49" s="25" t="s">
        <v>76</v>
      </c>
      <c r="C49" s="23">
        <v>46287</v>
      </c>
      <c r="D49" s="23">
        <v>46300</v>
      </c>
      <c r="E49" s="24">
        <v>10</v>
      </c>
      <c r="F49" s="4" t="s">
        <v>52</v>
      </c>
      <c r="G49" s="9">
        <f t="shared" ref="G49:AQ49" si="23">IF(AND(G$2&gt;=$C49,G$2&lt;=$D49,WEEKDAY(G$2,2)&lt;=5),100/$E49,0)</f>
        <v>0</v>
      </c>
      <c r="H49" s="9">
        <f t="shared" si="23"/>
        <v>0</v>
      </c>
      <c r="I49" s="9">
        <f t="shared" si="23"/>
        <v>0</v>
      </c>
      <c r="J49" s="9">
        <f t="shared" si="23"/>
        <v>0</v>
      </c>
      <c r="K49" s="10">
        <f t="shared" si="23"/>
        <v>0</v>
      </c>
      <c r="L49" s="10">
        <f t="shared" si="23"/>
        <v>0</v>
      </c>
      <c r="M49" s="9">
        <f t="shared" si="23"/>
        <v>0</v>
      </c>
      <c r="N49" s="9">
        <f t="shared" si="23"/>
        <v>0</v>
      </c>
      <c r="O49" s="9">
        <f t="shared" si="23"/>
        <v>0</v>
      </c>
      <c r="P49" s="9">
        <f t="shared" si="23"/>
        <v>0</v>
      </c>
      <c r="Q49" s="9">
        <f t="shared" si="23"/>
        <v>0</v>
      </c>
      <c r="R49" s="10">
        <f t="shared" si="23"/>
        <v>0</v>
      </c>
      <c r="S49" s="10">
        <f t="shared" si="23"/>
        <v>0</v>
      </c>
      <c r="T49" s="9">
        <f t="shared" si="23"/>
        <v>0</v>
      </c>
      <c r="U49" s="9">
        <f t="shared" si="23"/>
        <v>0</v>
      </c>
      <c r="V49" s="9">
        <f t="shared" si="23"/>
        <v>0</v>
      </c>
      <c r="W49" s="9">
        <f t="shared" si="23"/>
        <v>0</v>
      </c>
      <c r="X49" s="9">
        <f t="shared" si="23"/>
        <v>0</v>
      </c>
      <c r="Y49" s="10">
        <f t="shared" si="23"/>
        <v>0</v>
      </c>
      <c r="Z49" s="10">
        <f t="shared" si="23"/>
        <v>0</v>
      </c>
      <c r="AA49" s="9">
        <f t="shared" si="23"/>
        <v>0</v>
      </c>
      <c r="AB49" s="9">
        <f t="shared" si="23"/>
        <v>10</v>
      </c>
      <c r="AC49" s="9">
        <f t="shared" si="23"/>
        <v>10</v>
      </c>
      <c r="AD49" s="9">
        <f t="shared" si="23"/>
        <v>10</v>
      </c>
      <c r="AE49" s="9">
        <f t="shared" si="23"/>
        <v>10</v>
      </c>
      <c r="AF49" s="10">
        <f t="shared" si="23"/>
        <v>0</v>
      </c>
      <c r="AG49" s="10">
        <f t="shared" si="23"/>
        <v>0</v>
      </c>
      <c r="AH49" s="9">
        <f t="shared" si="23"/>
        <v>10</v>
      </c>
      <c r="AI49" s="9">
        <f t="shared" si="23"/>
        <v>10</v>
      </c>
      <c r="AJ49" s="9">
        <f t="shared" si="23"/>
        <v>10</v>
      </c>
      <c r="AK49" s="9">
        <f t="shared" si="23"/>
        <v>10</v>
      </c>
      <c r="AL49" s="9">
        <f t="shared" si="23"/>
        <v>10</v>
      </c>
      <c r="AM49" s="10">
        <f t="shared" si="23"/>
        <v>0</v>
      </c>
      <c r="AN49" s="10">
        <f t="shared" si="23"/>
        <v>0</v>
      </c>
      <c r="AO49" s="9">
        <f t="shared" si="23"/>
        <v>10</v>
      </c>
      <c r="AP49" s="9">
        <f t="shared" si="23"/>
        <v>0</v>
      </c>
      <c r="AQ49" s="9">
        <f t="shared" si="23"/>
        <v>0</v>
      </c>
    </row>
    <row r="50" spans="1:43" x14ac:dyDescent="0.3">
      <c r="A50" s="24"/>
      <c r="B50" s="24"/>
      <c r="C50" s="24"/>
      <c r="D50" s="24"/>
      <c r="E50" s="24"/>
      <c r="F50" s="11" t="s">
        <v>53</v>
      </c>
      <c r="G50" s="12">
        <f>SUM($G49:G49)</f>
        <v>0</v>
      </c>
      <c r="H50" s="12">
        <f>SUM($G49:H49)</f>
        <v>0</v>
      </c>
      <c r="I50" s="12">
        <f>SUM($G49:I49)</f>
        <v>0</v>
      </c>
      <c r="J50" s="12">
        <f>SUM($G49:J49)</f>
        <v>0</v>
      </c>
      <c r="K50" s="13">
        <f>SUM($G49:K49)</f>
        <v>0</v>
      </c>
      <c r="L50" s="13">
        <f>SUM($G49:L49)</f>
        <v>0</v>
      </c>
      <c r="M50" s="12">
        <f>SUM($G49:M49)</f>
        <v>0</v>
      </c>
      <c r="N50" s="12">
        <f>SUM($G49:N49)</f>
        <v>0</v>
      </c>
      <c r="O50" s="12">
        <f>SUM($G49:O49)</f>
        <v>0</v>
      </c>
      <c r="P50" s="12">
        <f>SUM($G49:P49)</f>
        <v>0</v>
      </c>
      <c r="Q50" s="12">
        <f>SUM($G49:Q49)</f>
        <v>0</v>
      </c>
      <c r="R50" s="13">
        <f>SUM($G49:R49)</f>
        <v>0</v>
      </c>
      <c r="S50" s="13">
        <f>SUM($G49:S49)</f>
        <v>0</v>
      </c>
      <c r="T50" s="12">
        <f>SUM($G49:T49)</f>
        <v>0</v>
      </c>
      <c r="U50" s="12">
        <f>SUM($G49:U49)</f>
        <v>0</v>
      </c>
      <c r="V50" s="12">
        <f>SUM($G49:V49)</f>
        <v>0</v>
      </c>
      <c r="W50" s="12">
        <f>SUM($G49:W49)</f>
        <v>0</v>
      </c>
      <c r="X50" s="12">
        <f>SUM($G49:X49)</f>
        <v>0</v>
      </c>
      <c r="Y50" s="13">
        <f>SUM($G49:Y49)</f>
        <v>0</v>
      </c>
      <c r="Z50" s="13">
        <f>SUM($G49:Z49)</f>
        <v>0</v>
      </c>
      <c r="AA50" s="12">
        <f>SUM($G49:AA49)</f>
        <v>0</v>
      </c>
      <c r="AB50" s="12">
        <f>SUM($G49:AB49)</f>
        <v>10</v>
      </c>
      <c r="AC50" s="12">
        <f>SUM($G49:AC49)</f>
        <v>20</v>
      </c>
      <c r="AD50" s="12">
        <f>SUM($G49:AD49)</f>
        <v>30</v>
      </c>
      <c r="AE50" s="12">
        <f>SUM($G49:AE49)</f>
        <v>40</v>
      </c>
      <c r="AF50" s="13">
        <f>SUM($G49:AF49)</f>
        <v>40</v>
      </c>
      <c r="AG50" s="13">
        <f>SUM($G49:AG49)</f>
        <v>40</v>
      </c>
      <c r="AH50" s="12">
        <f>SUM($G49:AH49)</f>
        <v>50</v>
      </c>
      <c r="AI50" s="12">
        <f>SUM($G49:AI49)</f>
        <v>60</v>
      </c>
      <c r="AJ50" s="12">
        <f>SUM($G49:AJ49)</f>
        <v>70</v>
      </c>
      <c r="AK50" s="12">
        <f>SUM($G49:AK49)</f>
        <v>80</v>
      </c>
      <c r="AL50" s="12">
        <f>SUM($G49:AL49)</f>
        <v>90</v>
      </c>
      <c r="AM50" s="13">
        <f>SUM($G49:AM49)</f>
        <v>90</v>
      </c>
      <c r="AN50" s="13">
        <f>SUM($G49:AN49)</f>
        <v>90</v>
      </c>
      <c r="AO50" s="12">
        <f>SUM($G49:AO49)</f>
        <v>100</v>
      </c>
      <c r="AP50" s="12">
        <f>SUM($G49:AP49)</f>
        <v>100</v>
      </c>
      <c r="AQ50" s="12">
        <f>SUM($G49:AQ49)</f>
        <v>100</v>
      </c>
    </row>
  </sheetData>
  <mergeCells count="126">
    <mergeCell ref="A49:A50"/>
    <mergeCell ref="B49:B50"/>
    <mergeCell ref="C49:C50"/>
    <mergeCell ref="D49:D50"/>
    <mergeCell ref="E49:E50"/>
    <mergeCell ref="A45:A46"/>
    <mergeCell ref="B45:B46"/>
    <mergeCell ref="C45:C46"/>
    <mergeCell ref="D45:D46"/>
    <mergeCell ref="E45:E46"/>
    <mergeCell ref="A47:A48"/>
    <mergeCell ref="B47:B48"/>
    <mergeCell ref="C47:C48"/>
    <mergeCell ref="D47:D48"/>
    <mergeCell ref="E47:E48"/>
    <mergeCell ref="A41:A42"/>
    <mergeCell ref="B41:B42"/>
    <mergeCell ref="C41:C42"/>
    <mergeCell ref="D41:D42"/>
    <mergeCell ref="E41:E42"/>
    <mergeCell ref="A43:A44"/>
    <mergeCell ref="B43:B44"/>
    <mergeCell ref="C43:C44"/>
    <mergeCell ref="D43:D44"/>
    <mergeCell ref="E43:E44"/>
    <mergeCell ref="A37:A38"/>
    <mergeCell ref="B37:B38"/>
    <mergeCell ref="C37:C38"/>
    <mergeCell ref="D37:D38"/>
    <mergeCell ref="E37:E38"/>
    <mergeCell ref="A39:A40"/>
    <mergeCell ref="B39:B40"/>
    <mergeCell ref="C39:C40"/>
    <mergeCell ref="D39:D40"/>
    <mergeCell ref="E39:E40"/>
    <mergeCell ref="A33:A34"/>
    <mergeCell ref="B33:B34"/>
    <mergeCell ref="C33:C34"/>
    <mergeCell ref="D33:D34"/>
    <mergeCell ref="E33:E34"/>
    <mergeCell ref="A35:A36"/>
    <mergeCell ref="B35:B36"/>
    <mergeCell ref="C35:C36"/>
    <mergeCell ref="D35:D36"/>
    <mergeCell ref="E35:E36"/>
    <mergeCell ref="A29:A30"/>
    <mergeCell ref="B29:B30"/>
    <mergeCell ref="C29:C30"/>
    <mergeCell ref="D29:D30"/>
    <mergeCell ref="E29:E30"/>
    <mergeCell ref="A31:A32"/>
    <mergeCell ref="B31:B32"/>
    <mergeCell ref="C31:C32"/>
    <mergeCell ref="D31:D32"/>
    <mergeCell ref="E31:E32"/>
    <mergeCell ref="A25:A26"/>
    <mergeCell ref="B25:B26"/>
    <mergeCell ref="C25:C26"/>
    <mergeCell ref="D25:D26"/>
    <mergeCell ref="E25:E26"/>
    <mergeCell ref="A27:A28"/>
    <mergeCell ref="B27:B28"/>
    <mergeCell ref="C27:C28"/>
    <mergeCell ref="D27:D28"/>
    <mergeCell ref="E27:E28"/>
    <mergeCell ref="A21:A22"/>
    <mergeCell ref="B21:B22"/>
    <mergeCell ref="C21:C22"/>
    <mergeCell ref="D21:D22"/>
    <mergeCell ref="E21:E22"/>
    <mergeCell ref="A23:A24"/>
    <mergeCell ref="B23:B24"/>
    <mergeCell ref="C23:C24"/>
    <mergeCell ref="D23:D24"/>
    <mergeCell ref="E23:E24"/>
    <mergeCell ref="A17:A18"/>
    <mergeCell ref="B17:B18"/>
    <mergeCell ref="C17:C18"/>
    <mergeCell ref="D17:D18"/>
    <mergeCell ref="E17:E18"/>
    <mergeCell ref="A19:A20"/>
    <mergeCell ref="B19:B20"/>
    <mergeCell ref="C19:C20"/>
    <mergeCell ref="D19:D20"/>
    <mergeCell ref="E19:E20"/>
    <mergeCell ref="A13:A14"/>
    <mergeCell ref="B13:B14"/>
    <mergeCell ref="C13:C14"/>
    <mergeCell ref="D13:D14"/>
    <mergeCell ref="E13:E14"/>
    <mergeCell ref="A15:A16"/>
    <mergeCell ref="B15:B16"/>
    <mergeCell ref="C15:C16"/>
    <mergeCell ref="D15:D16"/>
    <mergeCell ref="E15:E16"/>
    <mergeCell ref="A9:A10"/>
    <mergeCell ref="B9:B10"/>
    <mergeCell ref="C9:C10"/>
    <mergeCell ref="D9:D10"/>
    <mergeCell ref="E9:E10"/>
    <mergeCell ref="A11:A12"/>
    <mergeCell ref="B11:B12"/>
    <mergeCell ref="C11:C12"/>
    <mergeCell ref="D11:D12"/>
    <mergeCell ref="E11:E12"/>
    <mergeCell ref="A5:A6"/>
    <mergeCell ref="B5:B6"/>
    <mergeCell ref="C5:C6"/>
    <mergeCell ref="D5:D6"/>
    <mergeCell ref="E5:E6"/>
    <mergeCell ref="A7:A8"/>
    <mergeCell ref="B7:B8"/>
    <mergeCell ref="C7:C8"/>
    <mergeCell ref="D7:D8"/>
    <mergeCell ref="E7:E8"/>
    <mergeCell ref="A1:A2"/>
    <mergeCell ref="B1:B2"/>
    <mergeCell ref="C1:C2"/>
    <mergeCell ref="D1:D2"/>
    <mergeCell ref="E1:E2"/>
    <mergeCell ref="F1:F2"/>
    <mergeCell ref="A3:A4"/>
    <mergeCell ref="B3:B4"/>
    <mergeCell ref="C3:C4"/>
    <mergeCell ref="D3:D4"/>
    <mergeCell ref="E3:E4"/>
  </mergeCells>
  <phoneticPr fontId="8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9"/>
  <sheetViews>
    <sheetView zoomScaleNormal="100" workbookViewId="0">
      <pane xSplit="3" ySplit="1" topLeftCell="D26" activePane="bottomRight" state="frozen"/>
      <selection pane="topRight" activeCell="D1" sqref="D1"/>
      <selection pane="bottomLeft" activeCell="A2" sqref="A2"/>
      <selection pane="bottomRight" activeCell="B50" sqref="B50"/>
    </sheetView>
  </sheetViews>
  <sheetFormatPr baseColWidth="10" defaultColWidth="8.6640625" defaultRowHeight="14.4" x14ac:dyDescent="0.3"/>
  <cols>
    <col min="1" max="1" width="13" customWidth="1"/>
    <col min="2" max="2" width="60" customWidth="1"/>
    <col min="3" max="3" width="16" customWidth="1"/>
    <col min="4" max="9" width="13" customWidth="1"/>
  </cols>
  <sheetData>
    <row r="1" spans="1:9" ht="30" customHeight="1" x14ac:dyDescent="0.3">
      <c r="A1" s="1" t="s">
        <v>0</v>
      </c>
      <c r="B1" s="1" t="s">
        <v>77</v>
      </c>
      <c r="C1" s="1" t="s">
        <v>78</v>
      </c>
      <c r="D1" s="14" t="s">
        <v>79</v>
      </c>
      <c r="E1" s="14" t="s">
        <v>80</v>
      </c>
      <c r="F1" s="14" t="s">
        <v>81</v>
      </c>
      <c r="G1" s="14" t="s">
        <v>82</v>
      </c>
      <c r="H1" s="14" t="s">
        <v>83</v>
      </c>
      <c r="I1" s="14" t="s">
        <v>84</v>
      </c>
    </row>
    <row r="2" spans="1:9" x14ac:dyDescent="0.3">
      <c r="A2" s="26"/>
      <c r="B2" s="27" t="s">
        <v>7</v>
      </c>
      <c r="C2" s="4" t="s">
        <v>52</v>
      </c>
      <c r="D2" s="9">
        <f>SUM('Avance Diario'!G3:L3)</f>
        <v>14.814814814814815</v>
      </c>
      <c r="E2" s="9">
        <f>SUM('Avance Diario'!M3:S3)</f>
        <v>18.518518518518519</v>
      </c>
      <c r="F2" s="9">
        <f>SUM('Avance Diario'!T3:Z3)</f>
        <v>18.518518518518519</v>
      </c>
      <c r="G2" s="9">
        <f>SUM('Avance Diario'!AA3:AG3)</f>
        <v>18.518518518518519</v>
      </c>
      <c r="H2" s="9">
        <f>SUM('Avance Diario'!AH3:AN3)</f>
        <v>18.518518518518519</v>
      </c>
      <c r="I2" s="9">
        <f>SUM('Avance Diario'!AO3:AQ3)</f>
        <v>11.111111111111111</v>
      </c>
    </row>
    <row r="3" spans="1:9" x14ac:dyDescent="0.3">
      <c r="A3" s="26"/>
      <c r="B3" s="26"/>
      <c r="C3" s="11" t="s">
        <v>53</v>
      </c>
      <c r="D3" s="12">
        <f>SUM($D2:D2)</f>
        <v>14.814814814814815</v>
      </c>
      <c r="E3" s="12">
        <f>SUM($D2:E2)</f>
        <v>33.333333333333336</v>
      </c>
      <c r="F3" s="12">
        <f>SUM($D2:F2)</f>
        <v>51.851851851851855</v>
      </c>
      <c r="G3" s="12">
        <f>SUM($D2:G2)</f>
        <v>70.370370370370381</v>
      </c>
      <c r="H3" s="12">
        <f>SUM($D2:H2)</f>
        <v>88.8888888888889</v>
      </c>
      <c r="I3" s="12">
        <f>SUM($D2:I2)</f>
        <v>100.00000000000001</v>
      </c>
    </row>
    <row r="4" spans="1:9" x14ac:dyDescent="0.3">
      <c r="A4" s="26" t="s">
        <v>85</v>
      </c>
      <c r="B4" s="27" t="s">
        <v>54</v>
      </c>
      <c r="C4" s="4" t="s">
        <v>52</v>
      </c>
      <c r="D4" s="9">
        <f>SUM('Avance Diario'!G5:L5)</f>
        <v>0</v>
      </c>
      <c r="E4" s="9">
        <f>SUM('Avance Diario'!M5:S5)</f>
        <v>9.0909090909090917</v>
      </c>
      <c r="F4" s="9">
        <f>SUM('Avance Diario'!T5:Z5)</f>
        <v>45.45454545454546</v>
      </c>
      <c r="G4" s="9">
        <f>SUM('Avance Diario'!AA5:AG5)</f>
        <v>45.45454545454546</v>
      </c>
      <c r="H4" s="9">
        <f>SUM('Avance Diario'!AH5:AN5)</f>
        <v>0</v>
      </c>
      <c r="I4" s="9">
        <f>SUM('Avance Diario'!AO5:AQ5)</f>
        <v>0</v>
      </c>
    </row>
    <row r="5" spans="1:9" x14ac:dyDescent="0.3">
      <c r="A5" s="26"/>
      <c r="B5" s="26"/>
      <c r="C5" s="11" t="s">
        <v>53</v>
      </c>
      <c r="D5" s="12">
        <f>SUM($D4:D4)</f>
        <v>0</v>
      </c>
      <c r="E5" s="12">
        <f>SUM($D4:E4)</f>
        <v>9.0909090909090917</v>
      </c>
      <c r="F5" s="12">
        <f>SUM($D4:F4)</f>
        <v>54.545454545454554</v>
      </c>
      <c r="G5" s="12">
        <f>SUM($D4:G4)</f>
        <v>100.00000000000001</v>
      </c>
      <c r="H5" s="12">
        <f>SUM($D4:H4)</f>
        <v>100.00000000000001</v>
      </c>
      <c r="I5" s="12">
        <f>SUM($D4:I4)</f>
        <v>100.00000000000001</v>
      </c>
    </row>
    <row r="6" spans="1:9" x14ac:dyDescent="0.3">
      <c r="A6" s="28" t="s">
        <v>86</v>
      </c>
      <c r="B6" s="29" t="s">
        <v>55</v>
      </c>
      <c r="C6" s="4" t="s">
        <v>52</v>
      </c>
      <c r="D6" s="9">
        <f>SUM('Avance Diario'!G7:L7)</f>
        <v>0</v>
      </c>
      <c r="E6" s="9">
        <f>SUM('Avance Diario'!M7:S7)</f>
        <v>9.0909090909090917</v>
      </c>
      <c r="F6" s="9">
        <f>SUM('Avance Diario'!T7:Z7)</f>
        <v>45.45454545454546</v>
      </c>
      <c r="G6" s="9">
        <f>SUM('Avance Diario'!AA7:AG7)</f>
        <v>45.45454545454546</v>
      </c>
      <c r="H6" s="9">
        <f>SUM('Avance Diario'!AH7:AN7)</f>
        <v>0</v>
      </c>
      <c r="I6" s="9">
        <f>SUM('Avance Diario'!AO7:AQ7)</f>
        <v>0</v>
      </c>
    </row>
    <row r="7" spans="1:9" x14ac:dyDescent="0.3">
      <c r="A7" s="28"/>
      <c r="B7" s="28"/>
      <c r="C7" s="11" t="s">
        <v>53</v>
      </c>
      <c r="D7" s="12">
        <f>SUM($D6:D6)</f>
        <v>0</v>
      </c>
      <c r="E7" s="12">
        <f>SUM($D6:E6)</f>
        <v>9.0909090909090917</v>
      </c>
      <c r="F7" s="12">
        <f>SUM($D6:F6)</f>
        <v>54.545454545454554</v>
      </c>
      <c r="G7" s="12">
        <f>SUM($D6:G6)</f>
        <v>100.00000000000001</v>
      </c>
      <c r="H7" s="12">
        <f>SUM($D6:H6)</f>
        <v>100.00000000000001</v>
      </c>
      <c r="I7" s="12">
        <f>SUM($D6:I6)</f>
        <v>100.00000000000001</v>
      </c>
    </row>
    <row r="8" spans="1:9" x14ac:dyDescent="0.3">
      <c r="A8" s="26"/>
      <c r="B8" s="27" t="s">
        <v>56</v>
      </c>
      <c r="C8" s="4" t="s">
        <v>52</v>
      </c>
      <c r="D8" s="9">
        <f>SUM('Avance Diario'!G9:L9)</f>
        <v>17.391304347826086</v>
      </c>
      <c r="E8" s="9">
        <f>SUM('Avance Diario'!M9:S9)</f>
        <v>21.739130434782609</v>
      </c>
      <c r="F8" s="9">
        <f>SUM('Avance Diario'!T9:Z9)</f>
        <v>21.739130434782609</v>
      </c>
      <c r="G8" s="9">
        <f>SUM('Avance Diario'!AA9:AG9)</f>
        <v>21.739130434782609</v>
      </c>
      <c r="H8" s="9">
        <f>SUM('Avance Diario'!AH9:AN9)</f>
        <v>17.391304347826086</v>
      </c>
      <c r="I8" s="9">
        <f>SUM('Avance Diario'!AO9:AQ9)</f>
        <v>0</v>
      </c>
    </row>
    <row r="9" spans="1:9" x14ac:dyDescent="0.3">
      <c r="A9" s="26"/>
      <c r="B9" s="26"/>
      <c r="C9" s="11" t="s">
        <v>53</v>
      </c>
      <c r="D9" s="12">
        <f>SUM($D8:D8)</f>
        <v>17.391304347826086</v>
      </c>
      <c r="E9" s="12">
        <f>SUM($D8:E8)</f>
        <v>39.130434782608695</v>
      </c>
      <c r="F9" s="12">
        <f>SUM($D8:F8)</f>
        <v>60.869565217391305</v>
      </c>
      <c r="G9" s="12">
        <f>SUM($D8:G8)</f>
        <v>82.608695652173907</v>
      </c>
      <c r="H9" s="12">
        <f>SUM($D8:H8)</f>
        <v>100</v>
      </c>
      <c r="I9" s="12">
        <f>SUM($D8:I8)</f>
        <v>100</v>
      </c>
    </row>
    <row r="10" spans="1:9" x14ac:dyDescent="0.3">
      <c r="A10" s="26" t="s">
        <v>87</v>
      </c>
      <c r="B10" s="27" t="s">
        <v>57</v>
      </c>
      <c r="C10" s="4" t="s">
        <v>52</v>
      </c>
      <c r="D10" s="9">
        <f>SUM('Avance Diario'!G11:L11)</f>
        <v>0</v>
      </c>
      <c r="E10" s="9">
        <f>SUM('Avance Diario'!M11:S11)</f>
        <v>31.25</v>
      </c>
      <c r="F10" s="9">
        <f>SUM('Avance Diario'!T11:Z11)</f>
        <v>31.25</v>
      </c>
      <c r="G10" s="9">
        <f>SUM('Avance Diario'!AA11:AG11)</f>
        <v>31.25</v>
      </c>
      <c r="H10" s="9">
        <f>SUM('Avance Diario'!AH11:AN11)</f>
        <v>6.25</v>
      </c>
      <c r="I10" s="9">
        <f>SUM('Avance Diario'!AO11:AQ11)</f>
        <v>0</v>
      </c>
    </row>
    <row r="11" spans="1:9" x14ac:dyDescent="0.3">
      <c r="A11" s="26"/>
      <c r="B11" s="26"/>
      <c r="C11" s="11" t="s">
        <v>53</v>
      </c>
      <c r="D11" s="12">
        <f>SUM($D10:D10)</f>
        <v>0</v>
      </c>
      <c r="E11" s="12">
        <f>SUM($D10:E10)</f>
        <v>31.25</v>
      </c>
      <c r="F11" s="12">
        <f>SUM($D10:F10)</f>
        <v>62.5</v>
      </c>
      <c r="G11" s="12">
        <f>SUM($D10:G10)</f>
        <v>93.75</v>
      </c>
      <c r="H11" s="12">
        <f>SUM($D10:H10)</f>
        <v>100</v>
      </c>
      <c r="I11" s="12">
        <f>SUM($D10:I10)</f>
        <v>100</v>
      </c>
    </row>
    <row r="12" spans="1:9" x14ac:dyDescent="0.3">
      <c r="A12" s="28" t="s">
        <v>88</v>
      </c>
      <c r="B12" s="29" t="s">
        <v>58</v>
      </c>
      <c r="C12" s="4" t="s">
        <v>52</v>
      </c>
      <c r="D12" s="9">
        <f>SUM('Avance Diario'!G13:L13)</f>
        <v>0</v>
      </c>
      <c r="E12" s="9">
        <f>SUM('Avance Diario'!M13:S13)</f>
        <v>71.428571428571431</v>
      </c>
      <c r="F12" s="9">
        <f>SUM('Avance Diario'!T13:Z13)</f>
        <v>28.571428571428573</v>
      </c>
      <c r="G12" s="9">
        <f>SUM('Avance Diario'!AA13:AG13)</f>
        <v>0</v>
      </c>
      <c r="H12" s="9">
        <f>SUM('Avance Diario'!AH13:AN13)</f>
        <v>0</v>
      </c>
      <c r="I12" s="9">
        <f>SUM('Avance Diario'!AO13:AQ13)</f>
        <v>0</v>
      </c>
    </row>
    <row r="13" spans="1:9" x14ac:dyDescent="0.3">
      <c r="A13" s="28"/>
      <c r="B13" s="28"/>
      <c r="C13" s="11" t="s">
        <v>53</v>
      </c>
      <c r="D13" s="12">
        <f>SUM($D12:D12)</f>
        <v>0</v>
      </c>
      <c r="E13" s="12">
        <f>SUM($D12:E12)</f>
        <v>71.428571428571431</v>
      </c>
      <c r="F13" s="12">
        <f>SUM($D12:F12)</f>
        <v>100</v>
      </c>
      <c r="G13" s="12">
        <f>SUM($D12:G12)</f>
        <v>100</v>
      </c>
      <c r="H13" s="12">
        <f>SUM($D12:H12)</f>
        <v>100</v>
      </c>
      <c r="I13" s="12">
        <f>SUM($D12:I12)</f>
        <v>100</v>
      </c>
    </row>
    <row r="14" spans="1:9" x14ac:dyDescent="0.3">
      <c r="A14" s="28" t="s">
        <v>89</v>
      </c>
      <c r="B14" s="29" t="s">
        <v>59</v>
      </c>
      <c r="C14" s="4" t="s">
        <v>52</v>
      </c>
      <c r="D14" s="9">
        <f>SUM('Avance Diario'!G15:L15)</f>
        <v>0</v>
      </c>
      <c r="E14" s="9">
        <f>SUM('Avance Diario'!M15:S15)</f>
        <v>20</v>
      </c>
      <c r="F14" s="9">
        <f>SUM('Avance Diario'!T15:Z15)</f>
        <v>80</v>
      </c>
      <c r="G14" s="9">
        <f>SUM('Avance Diario'!AA15:AG15)</f>
        <v>0</v>
      </c>
      <c r="H14" s="9">
        <f>SUM('Avance Diario'!AH15:AN15)</f>
        <v>0</v>
      </c>
      <c r="I14" s="9">
        <f>SUM('Avance Diario'!AO15:AQ15)</f>
        <v>0</v>
      </c>
    </row>
    <row r="15" spans="1:9" x14ac:dyDescent="0.3">
      <c r="A15" s="28"/>
      <c r="B15" s="28"/>
      <c r="C15" s="11" t="s">
        <v>53</v>
      </c>
      <c r="D15" s="12">
        <f>SUM($D14:D14)</f>
        <v>0</v>
      </c>
      <c r="E15" s="12">
        <f>SUM($D14:E14)</f>
        <v>20</v>
      </c>
      <c r="F15" s="12">
        <f>SUM($D14:F14)</f>
        <v>100</v>
      </c>
      <c r="G15" s="12">
        <f>SUM($D14:G14)</f>
        <v>100</v>
      </c>
      <c r="H15" s="12">
        <f>SUM($D14:H14)</f>
        <v>100</v>
      </c>
      <c r="I15" s="12">
        <f>SUM($D14:I14)</f>
        <v>100</v>
      </c>
    </row>
    <row r="16" spans="1:9" x14ac:dyDescent="0.3">
      <c r="A16" s="28" t="s">
        <v>90</v>
      </c>
      <c r="B16" s="29" t="s">
        <v>60</v>
      </c>
      <c r="C16" s="4" t="s">
        <v>52</v>
      </c>
      <c r="D16" s="9">
        <f>SUM('Avance Diario'!G17:L17)</f>
        <v>0</v>
      </c>
      <c r="E16" s="9">
        <f>SUM('Avance Diario'!M17:S17)</f>
        <v>0</v>
      </c>
      <c r="F16" s="9">
        <f>SUM('Avance Diario'!T17:Z17)</f>
        <v>45.45454545454546</v>
      </c>
      <c r="G16" s="9">
        <f>SUM('Avance Diario'!AA17:AG17)</f>
        <v>45.45454545454546</v>
      </c>
      <c r="H16" s="9">
        <f>SUM('Avance Diario'!AH17:AN17)</f>
        <v>9.0909090909090917</v>
      </c>
      <c r="I16" s="9">
        <f>SUM('Avance Diario'!AO17:AQ17)</f>
        <v>0</v>
      </c>
    </row>
    <row r="17" spans="1:9" x14ac:dyDescent="0.3">
      <c r="A17" s="28"/>
      <c r="B17" s="28"/>
      <c r="C17" s="11" t="s">
        <v>53</v>
      </c>
      <c r="D17" s="12">
        <f>SUM($D16:D16)</f>
        <v>0</v>
      </c>
      <c r="E17" s="12">
        <f>SUM($D16:E16)</f>
        <v>0</v>
      </c>
      <c r="F17" s="12">
        <f>SUM($D16:F16)</f>
        <v>45.45454545454546</v>
      </c>
      <c r="G17" s="12">
        <f>SUM($D16:G16)</f>
        <v>90.909090909090921</v>
      </c>
      <c r="H17" s="12">
        <f>SUM($D16:H16)</f>
        <v>100.00000000000001</v>
      </c>
      <c r="I17" s="12">
        <f>SUM($D16:I16)</f>
        <v>100.00000000000001</v>
      </c>
    </row>
    <row r="18" spans="1:9" x14ac:dyDescent="0.3">
      <c r="A18" s="26" t="s">
        <v>91</v>
      </c>
      <c r="B18" s="27" t="s">
        <v>61</v>
      </c>
      <c r="C18" s="4" t="s">
        <v>52</v>
      </c>
      <c r="D18" s="9">
        <f>SUM('Avance Diario'!G19:L19)</f>
        <v>17.391304347826086</v>
      </c>
      <c r="E18" s="9">
        <f>SUM('Avance Diario'!M19:S19)</f>
        <v>21.739130434782609</v>
      </c>
      <c r="F18" s="9">
        <f>SUM('Avance Diario'!T19:Z19)</f>
        <v>21.739130434782609</v>
      </c>
      <c r="G18" s="9">
        <f>SUM('Avance Diario'!AA19:AG19)</f>
        <v>21.739130434782609</v>
      </c>
      <c r="H18" s="9">
        <f>SUM('Avance Diario'!AH19:AN19)</f>
        <v>17.391304347826086</v>
      </c>
      <c r="I18" s="9">
        <f>SUM('Avance Diario'!AO19:AQ19)</f>
        <v>0</v>
      </c>
    </row>
    <row r="19" spans="1:9" x14ac:dyDescent="0.3">
      <c r="A19" s="26"/>
      <c r="B19" s="26"/>
      <c r="C19" s="11" t="s">
        <v>53</v>
      </c>
      <c r="D19" s="12">
        <f>SUM($D18:D18)</f>
        <v>17.391304347826086</v>
      </c>
      <c r="E19" s="12">
        <f>SUM($D18:E18)</f>
        <v>39.130434782608695</v>
      </c>
      <c r="F19" s="12">
        <f>SUM($D18:F18)</f>
        <v>60.869565217391305</v>
      </c>
      <c r="G19" s="12">
        <f>SUM($D18:G18)</f>
        <v>82.608695652173907</v>
      </c>
      <c r="H19" s="12">
        <f>SUM($D18:H18)</f>
        <v>100</v>
      </c>
      <c r="I19" s="12">
        <f>SUM($D18:I18)</f>
        <v>100</v>
      </c>
    </row>
    <row r="20" spans="1:9" x14ac:dyDescent="0.3">
      <c r="A20" s="28" t="s">
        <v>92</v>
      </c>
      <c r="B20" s="29" t="s">
        <v>62</v>
      </c>
      <c r="C20" s="4" t="s">
        <v>52</v>
      </c>
      <c r="D20" s="9">
        <f>SUM('Avance Diario'!G21:L21)</f>
        <v>0</v>
      </c>
      <c r="E20" s="9">
        <f>SUM('Avance Diario'!M21:S21)</f>
        <v>0</v>
      </c>
      <c r="F20" s="9">
        <f>SUM('Avance Diario'!T21:Z21)</f>
        <v>0</v>
      </c>
      <c r="G20" s="9">
        <f>SUM('Avance Diario'!AA21:AG21)</f>
        <v>71.428571428571431</v>
      </c>
      <c r="H20" s="9">
        <f>SUM('Avance Diario'!AH21:AN21)</f>
        <v>28.571428571428573</v>
      </c>
      <c r="I20" s="9">
        <f>SUM('Avance Diario'!AO21:AQ21)</f>
        <v>0</v>
      </c>
    </row>
    <row r="21" spans="1:9" x14ac:dyDescent="0.3">
      <c r="A21" s="28"/>
      <c r="B21" s="28"/>
      <c r="C21" s="11" t="s">
        <v>53</v>
      </c>
      <c r="D21" s="12">
        <f>SUM($D20:D20)</f>
        <v>0</v>
      </c>
      <c r="E21" s="12">
        <f>SUM($D20:E20)</f>
        <v>0</v>
      </c>
      <c r="F21" s="12">
        <f>SUM($D20:F20)</f>
        <v>0</v>
      </c>
      <c r="G21" s="12">
        <f>SUM($D20:G20)</f>
        <v>71.428571428571431</v>
      </c>
      <c r="H21" s="12">
        <f>SUM($D20:H20)</f>
        <v>100</v>
      </c>
      <c r="I21" s="12">
        <f>SUM($D20:I20)</f>
        <v>100</v>
      </c>
    </row>
    <row r="22" spans="1:9" x14ac:dyDescent="0.3">
      <c r="A22" s="28" t="s">
        <v>93</v>
      </c>
      <c r="B22" s="29" t="s">
        <v>63</v>
      </c>
      <c r="C22" s="4" t="s">
        <v>52</v>
      </c>
      <c r="D22" s="9">
        <f>SUM('Avance Diario'!G23:L23)</f>
        <v>0</v>
      </c>
      <c r="E22" s="9">
        <f>SUM('Avance Diario'!M23:S23)</f>
        <v>0</v>
      </c>
      <c r="F22" s="9">
        <f>SUM('Avance Diario'!T23:Z23)</f>
        <v>0</v>
      </c>
      <c r="G22" s="9">
        <f>SUM('Avance Diario'!AA23:AG23)</f>
        <v>100</v>
      </c>
      <c r="H22" s="9">
        <f>SUM('Avance Diario'!AH23:AN23)</f>
        <v>0</v>
      </c>
      <c r="I22" s="9">
        <f>SUM('Avance Diario'!AO23:AQ23)</f>
        <v>0</v>
      </c>
    </row>
    <row r="23" spans="1:9" x14ac:dyDescent="0.3">
      <c r="A23" s="28"/>
      <c r="B23" s="28"/>
      <c r="C23" s="11" t="s">
        <v>53</v>
      </c>
      <c r="D23" s="12">
        <f>SUM($D22:D22)</f>
        <v>0</v>
      </c>
      <c r="E23" s="12">
        <f>SUM($D22:E22)</f>
        <v>0</v>
      </c>
      <c r="F23" s="12">
        <f>SUM($D22:F22)</f>
        <v>0</v>
      </c>
      <c r="G23" s="12">
        <f>SUM($D22:G22)</f>
        <v>100</v>
      </c>
      <c r="H23" s="12">
        <f>SUM($D22:H22)</f>
        <v>100</v>
      </c>
      <c r="I23" s="12">
        <f>SUM($D22:I22)</f>
        <v>100</v>
      </c>
    </row>
    <row r="24" spans="1:9" x14ac:dyDescent="0.3">
      <c r="A24" s="28" t="s">
        <v>94</v>
      </c>
      <c r="B24" s="29" t="s">
        <v>64</v>
      </c>
      <c r="C24" s="4" t="s">
        <v>52</v>
      </c>
      <c r="D24" s="9">
        <f>SUM('Avance Diario'!G25:L25)</f>
        <v>44.444444444444443</v>
      </c>
      <c r="E24" s="9">
        <f>SUM('Avance Diario'!M25:S25)</f>
        <v>55.555555555555557</v>
      </c>
      <c r="F24" s="9">
        <f>SUM('Avance Diario'!T25:Z25)</f>
        <v>0</v>
      </c>
      <c r="G24" s="9">
        <f>SUM('Avance Diario'!AA25:AG25)</f>
        <v>0</v>
      </c>
      <c r="H24" s="9">
        <f>SUM('Avance Diario'!AH25:AN25)</f>
        <v>0</v>
      </c>
      <c r="I24" s="9">
        <f>SUM('Avance Diario'!AO25:AQ25)</f>
        <v>0</v>
      </c>
    </row>
    <row r="25" spans="1:9" x14ac:dyDescent="0.3">
      <c r="A25" s="28"/>
      <c r="B25" s="28"/>
      <c r="C25" s="11" t="s">
        <v>53</v>
      </c>
      <c r="D25" s="12">
        <f>SUM($D24:D24)</f>
        <v>44.444444444444443</v>
      </c>
      <c r="E25" s="12">
        <f>SUM($D24:E24)</f>
        <v>100</v>
      </c>
      <c r="F25" s="12">
        <f>SUM($D24:F24)</f>
        <v>100</v>
      </c>
      <c r="G25" s="12">
        <f>SUM($D24:G24)</f>
        <v>100</v>
      </c>
      <c r="H25" s="12">
        <f>SUM($D24:H24)</f>
        <v>100</v>
      </c>
      <c r="I25" s="12">
        <f>SUM($D24:I24)</f>
        <v>100</v>
      </c>
    </row>
    <row r="26" spans="1:9" x14ac:dyDescent="0.3">
      <c r="A26" s="28" t="s">
        <v>95</v>
      </c>
      <c r="B26" s="29" t="s">
        <v>65</v>
      </c>
      <c r="C26" s="4" t="s">
        <v>52</v>
      </c>
      <c r="D26" s="9">
        <f>SUM('Avance Diario'!G27:L27)</f>
        <v>0</v>
      </c>
      <c r="E26" s="9">
        <f>SUM('Avance Diario'!M27:S27)</f>
        <v>0</v>
      </c>
      <c r="F26" s="9">
        <f>SUM('Avance Diario'!T27:Z27)</f>
        <v>55.555555555555557</v>
      </c>
      <c r="G26" s="9">
        <f>SUM('Avance Diario'!AA27:AG27)</f>
        <v>44.444444444444443</v>
      </c>
      <c r="H26" s="9">
        <f>SUM('Avance Diario'!AH27:AN27)</f>
        <v>0</v>
      </c>
      <c r="I26" s="9">
        <f>SUM('Avance Diario'!AO27:AQ27)</f>
        <v>0</v>
      </c>
    </row>
    <row r="27" spans="1:9" x14ac:dyDescent="0.3">
      <c r="A27" s="28"/>
      <c r="B27" s="28"/>
      <c r="C27" s="11" t="s">
        <v>53</v>
      </c>
      <c r="D27" s="12">
        <f>SUM($D26:D26)</f>
        <v>0</v>
      </c>
      <c r="E27" s="12">
        <f>SUM($D26:E26)</f>
        <v>0</v>
      </c>
      <c r="F27" s="12">
        <f>SUM($D26:F26)</f>
        <v>55.555555555555557</v>
      </c>
      <c r="G27" s="12">
        <f>SUM($D26:G26)</f>
        <v>100</v>
      </c>
      <c r="H27" s="12">
        <f>SUM($D26:H26)</f>
        <v>100</v>
      </c>
      <c r="I27" s="12">
        <f>SUM($D26:I26)</f>
        <v>100</v>
      </c>
    </row>
    <row r="28" spans="1:9" x14ac:dyDescent="0.3">
      <c r="A28" s="28" t="s">
        <v>96</v>
      </c>
      <c r="B28" s="29" t="s">
        <v>66</v>
      </c>
      <c r="C28" s="4" t="s">
        <v>52</v>
      </c>
      <c r="D28" s="9">
        <f>SUM('Avance Diario'!G29:L29)</f>
        <v>0</v>
      </c>
      <c r="E28" s="9">
        <f>SUM('Avance Diario'!M29:S29)</f>
        <v>0</v>
      </c>
      <c r="F28" s="9">
        <f>SUM('Avance Diario'!T29:Z29)</f>
        <v>0</v>
      </c>
      <c r="G28" s="9">
        <f>SUM('Avance Diario'!AA29:AG29)</f>
        <v>20</v>
      </c>
      <c r="H28" s="9">
        <f>SUM('Avance Diario'!AH29:AN29)</f>
        <v>80</v>
      </c>
      <c r="I28" s="9">
        <f>SUM('Avance Diario'!AO29:AQ29)</f>
        <v>0</v>
      </c>
    </row>
    <row r="29" spans="1:9" x14ac:dyDescent="0.3">
      <c r="A29" s="28"/>
      <c r="B29" s="28"/>
      <c r="C29" s="11" t="s">
        <v>53</v>
      </c>
      <c r="D29" s="12">
        <f>SUM($D28:D28)</f>
        <v>0</v>
      </c>
      <c r="E29" s="12">
        <f>SUM($D28:E28)</f>
        <v>0</v>
      </c>
      <c r="F29" s="12">
        <f>SUM($D28:F28)</f>
        <v>0</v>
      </c>
      <c r="G29" s="12">
        <f>SUM($D28:G28)</f>
        <v>20</v>
      </c>
      <c r="H29" s="12">
        <f>SUM($D28:H28)</f>
        <v>100</v>
      </c>
      <c r="I29" s="12">
        <f>SUM($D28:I28)</f>
        <v>100</v>
      </c>
    </row>
    <row r="30" spans="1:9" x14ac:dyDescent="0.3">
      <c r="A30" s="26"/>
      <c r="B30" s="27" t="s">
        <v>67</v>
      </c>
      <c r="C30" s="4" t="s">
        <v>52</v>
      </c>
      <c r="D30" s="9">
        <f>SUM('Avance Diario'!G31:L31)</f>
        <v>0</v>
      </c>
      <c r="E30" s="9">
        <f>SUM('Avance Diario'!M31:S31)</f>
        <v>0</v>
      </c>
      <c r="F30" s="9">
        <f>SUM('Avance Diario'!T31:Z31)</f>
        <v>27.777777777777779</v>
      </c>
      <c r="G30" s="9">
        <f>SUM('Avance Diario'!AA31:AG31)</f>
        <v>27.777777777777779</v>
      </c>
      <c r="H30" s="9">
        <f>SUM('Avance Diario'!AH31:AN31)</f>
        <v>27.777777777777779</v>
      </c>
      <c r="I30" s="9">
        <f>SUM('Avance Diario'!AO31:AQ31)</f>
        <v>16.666666666666664</v>
      </c>
    </row>
    <row r="31" spans="1:9" x14ac:dyDescent="0.3">
      <c r="A31" s="26"/>
      <c r="B31" s="26"/>
      <c r="C31" s="11" t="s">
        <v>53</v>
      </c>
      <c r="D31" s="12">
        <f>SUM($D30:D30)</f>
        <v>0</v>
      </c>
      <c r="E31" s="12">
        <f>SUM($D30:E30)</f>
        <v>0</v>
      </c>
      <c r="F31" s="12">
        <f>SUM($D30:F30)</f>
        <v>27.777777777777779</v>
      </c>
      <c r="G31" s="12">
        <f>SUM($D30:G30)</f>
        <v>55.555555555555557</v>
      </c>
      <c r="H31" s="12">
        <f>SUM($D30:H30)</f>
        <v>83.333333333333343</v>
      </c>
      <c r="I31" s="12">
        <f>SUM($D30:I30)</f>
        <v>100</v>
      </c>
    </row>
    <row r="32" spans="1:9" x14ac:dyDescent="0.3">
      <c r="A32" s="26" t="s">
        <v>97</v>
      </c>
      <c r="B32" s="27" t="s">
        <v>68</v>
      </c>
      <c r="C32" s="4" t="s">
        <v>52</v>
      </c>
      <c r="D32" s="9">
        <f>SUM('Avance Diario'!G33:L33)</f>
        <v>0</v>
      </c>
      <c r="E32" s="9">
        <f>SUM('Avance Diario'!M33:S33)</f>
        <v>0</v>
      </c>
      <c r="F32" s="9">
        <f>SUM('Avance Diario'!T33:Z33)</f>
        <v>27.777777777777779</v>
      </c>
      <c r="G32" s="9">
        <f>SUM('Avance Diario'!AA33:AG33)</f>
        <v>27.777777777777779</v>
      </c>
      <c r="H32" s="9">
        <f>SUM('Avance Diario'!AH33:AN33)</f>
        <v>27.777777777777779</v>
      </c>
      <c r="I32" s="9">
        <f>SUM('Avance Diario'!AO33:AQ33)</f>
        <v>16.666666666666664</v>
      </c>
    </row>
    <row r="33" spans="1:9" x14ac:dyDescent="0.3">
      <c r="A33" s="26"/>
      <c r="B33" s="26"/>
      <c r="C33" s="11" t="s">
        <v>53</v>
      </c>
      <c r="D33" s="12">
        <f>SUM($D32:D32)</f>
        <v>0</v>
      </c>
      <c r="E33" s="12">
        <f>SUM($D32:E32)</f>
        <v>0</v>
      </c>
      <c r="F33" s="12">
        <f>SUM($D32:F32)</f>
        <v>27.777777777777779</v>
      </c>
      <c r="G33" s="12">
        <f>SUM($D32:G32)</f>
        <v>55.555555555555557</v>
      </c>
      <c r="H33" s="12">
        <f>SUM($D32:H32)</f>
        <v>83.333333333333343</v>
      </c>
      <c r="I33" s="12">
        <f>SUM($D32:I32)</f>
        <v>100</v>
      </c>
    </row>
    <row r="34" spans="1:9" x14ac:dyDescent="0.3">
      <c r="A34" s="28" t="s">
        <v>98</v>
      </c>
      <c r="B34" s="29" t="s">
        <v>69</v>
      </c>
      <c r="C34" s="4" t="s">
        <v>52</v>
      </c>
      <c r="D34" s="9">
        <f>SUM('Avance Diario'!G35:L35)</f>
        <v>0</v>
      </c>
      <c r="E34" s="9">
        <f>SUM('Avance Diario'!M35:S35)</f>
        <v>0</v>
      </c>
      <c r="F34" s="9">
        <f>SUM('Avance Diario'!T35:Z35)</f>
        <v>62.5</v>
      </c>
      <c r="G34" s="9">
        <f>SUM('Avance Diario'!AA35:AG35)</f>
        <v>37.5</v>
      </c>
      <c r="H34" s="9">
        <f>SUM('Avance Diario'!AH35:AN35)</f>
        <v>0</v>
      </c>
      <c r="I34" s="9">
        <f>SUM('Avance Diario'!AO35:AQ35)</f>
        <v>0</v>
      </c>
    </row>
    <row r="35" spans="1:9" x14ac:dyDescent="0.3">
      <c r="A35" s="28"/>
      <c r="B35" s="28"/>
      <c r="C35" s="11" t="s">
        <v>53</v>
      </c>
      <c r="D35" s="12">
        <f>SUM($D34:D34)</f>
        <v>0</v>
      </c>
      <c r="E35" s="12">
        <f>SUM($D34:E34)</f>
        <v>0</v>
      </c>
      <c r="F35" s="12">
        <f>SUM($D34:F34)</f>
        <v>62.5</v>
      </c>
      <c r="G35" s="12">
        <f>SUM($D34:G34)</f>
        <v>100</v>
      </c>
      <c r="H35" s="12">
        <f>SUM($D34:H34)</f>
        <v>100</v>
      </c>
      <c r="I35" s="12">
        <f>SUM($D34:I34)</f>
        <v>100</v>
      </c>
    </row>
    <row r="36" spans="1:9" x14ac:dyDescent="0.3">
      <c r="A36" s="28" t="s">
        <v>100</v>
      </c>
      <c r="B36" s="29" t="s">
        <v>70</v>
      </c>
      <c r="C36" s="4" t="s">
        <v>52</v>
      </c>
      <c r="D36" s="9">
        <f>SUM('Avance Diario'!G37:L37)</f>
        <v>0</v>
      </c>
      <c r="E36" s="9">
        <f>SUM('Avance Diario'!M37:S37)</f>
        <v>0</v>
      </c>
      <c r="F36" s="9">
        <f>SUM('Avance Diario'!T37:Z37)</f>
        <v>0</v>
      </c>
      <c r="G36" s="9">
        <f>SUM('Avance Diario'!AA37:AG37)</f>
        <v>66.666666666666671</v>
      </c>
      <c r="H36" s="9">
        <f>SUM('Avance Diario'!AH37:AN37)</f>
        <v>33.333333333333336</v>
      </c>
      <c r="I36" s="9">
        <f>SUM('Avance Diario'!AO37:AQ37)</f>
        <v>0</v>
      </c>
    </row>
    <row r="37" spans="1:9" x14ac:dyDescent="0.3">
      <c r="A37" s="28"/>
      <c r="B37" s="28"/>
      <c r="C37" s="11" t="s">
        <v>53</v>
      </c>
      <c r="D37" s="12">
        <f>SUM($D36:D36)</f>
        <v>0</v>
      </c>
      <c r="E37" s="12">
        <f>SUM($D36:E36)</f>
        <v>0</v>
      </c>
      <c r="F37" s="12">
        <f>SUM($D36:F36)</f>
        <v>0</v>
      </c>
      <c r="G37" s="12">
        <f>SUM($D36:G36)</f>
        <v>66.666666666666671</v>
      </c>
      <c r="H37" s="12">
        <f>SUM($D36:H36)</f>
        <v>100</v>
      </c>
      <c r="I37" s="12">
        <f>SUM($D36:I36)</f>
        <v>100</v>
      </c>
    </row>
    <row r="38" spans="1:9" x14ac:dyDescent="0.3">
      <c r="A38" s="28" t="s">
        <v>101</v>
      </c>
      <c r="B38" s="29" t="s">
        <v>71</v>
      </c>
      <c r="C38" s="4" t="s">
        <v>52</v>
      </c>
      <c r="D38" s="9">
        <f>SUM('Avance Diario'!G39:L39)</f>
        <v>0</v>
      </c>
      <c r="E38" s="9">
        <f>SUM('Avance Diario'!M39:S39)</f>
        <v>0</v>
      </c>
      <c r="F38" s="9">
        <f>SUM('Avance Diario'!T39:Z39)</f>
        <v>0</v>
      </c>
      <c r="G38" s="9">
        <f>SUM('Avance Diario'!AA39:AG39)</f>
        <v>66.666666666666671</v>
      </c>
      <c r="H38" s="9">
        <f>SUM('Avance Diario'!AH39:AN39)</f>
        <v>33.333333333333336</v>
      </c>
      <c r="I38" s="9">
        <f>SUM('Avance Diario'!AO39:AQ39)</f>
        <v>0</v>
      </c>
    </row>
    <row r="39" spans="1:9" x14ac:dyDescent="0.3">
      <c r="A39" s="28"/>
      <c r="B39" s="28"/>
      <c r="C39" s="11" t="s">
        <v>53</v>
      </c>
      <c r="D39" s="12">
        <f>SUM($D38:D38)</f>
        <v>0</v>
      </c>
      <c r="E39" s="12">
        <f>SUM($D38:E38)</f>
        <v>0</v>
      </c>
      <c r="F39" s="12">
        <f>SUM($D38:F38)</f>
        <v>0</v>
      </c>
      <c r="G39" s="12">
        <f>SUM($D38:G38)</f>
        <v>66.666666666666671</v>
      </c>
      <c r="H39" s="12">
        <f>SUM($D38:H38)</f>
        <v>100</v>
      </c>
      <c r="I39" s="12">
        <f>SUM($D38:I38)</f>
        <v>100</v>
      </c>
    </row>
    <row r="40" spans="1:9" x14ac:dyDescent="0.3">
      <c r="A40" s="28" t="s">
        <v>99</v>
      </c>
      <c r="B40" s="29" t="s">
        <v>72</v>
      </c>
      <c r="C40" s="4" t="s">
        <v>52</v>
      </c>
      <c r="D40" s="9">
        <f>SUM('Avance Diario'!G41:L41)</f>
        <v>0</v>
      </c>
      <c r="E40" s="9">
        <f>SUM('Avance Diario'!M41:S41)</f>
        <v>0</v>
      </c>
      <c r="F40" s="9">
        <f>SUM('Avance Diario'!T41:Z41)</f>
        <v>0</v>
      </c>
      <c r="G40" s="9">
        <f>SUM('Avance Diario'!AA41:AG41)</f>
        <v>0</v>
      </c>
      <c r="H40" s="9">
        <f>SUM('Avance Diario'!AH41:AN41)</f>
        <v>57.142857142857146</v>
      </c>
      <c r="I40" s="9">
        <f>SUM('Avance Diario'!AO41:AQ41)</f>
        <v>42.857142857142861</v>
      </c>
    </row>
    <row r="41" spans="1:9" x14ac:dyDescent="0.3">
      <c r="A41" s="28"/>
      <c r="B41" s="28"/>
      <c r="C41" s="11" t="s">
        <v>53</v>
      </c>
      <c r="D41" s="12">
        <f>SUM($D40:D40)</f>
        <v>0</v>
      </c>
      <c r="E41" s="12">
        <f>SUM($D40:E40)</f>
        <v>0</v>
      </c>
      <c r="F41" s="12">
        <f>SUM($D40:F40)</f>
        <v>0</v>
      </c>
      <c r="G41" s="12">
        <f>SUM($D40:G40)</f>
        <v>0</v>
      </c>
      <c r="H41" s="12">
        <f>SUM($D40:H40)</f>
        <v>57.142857142857146</v>
      </c>
      <c r="I41" s="12">
        <f>SUM($D40:I40)</f>
        <v>100</v>
      </c>
    </row>
    <row r="42" spans="1:9" x14ac:dyDescent="0.3">
      <c r="A42" s="26" t="s">
        <v>102</v>
      </c>
      <c r="B42" s="27" t="s">
        <v>73</v>
      </c>
      <c r="C42" s="4" t="s">
        <v>52</v>
      </c>
      <c r="D42" s="9">
        <f>SUM('Avance Diario'!G43:L43)</f>
        <v>0</v>
      </c>
      <c r="E42" s="9">
        <f>SUM('Avance Diario'!M43:S43)</f>
        <v>0</v>
      </c>
      <c r="F42" s="9">
        <f>SUM('Avance Diario'!T43:Z43)</f>
        <v>31.25</v>
      </c>
      <c r="G42" s="9">
        <f>SUM('Avance Diario'!AA43:AG43)</f>
        <v>31.25</v>
      </c>
      <c r="H42" s="9">
        <f>SUM('Avance Diario'!AH43:AN43)</f>
        <v>31.25</v>
      </c>
      <c r="I42" s="9">
        <f>SUM('Avance Diario'!AO43:AQ43)</f>
        <v>6.25</v>
      </c>
    </row>
    <row r="43" spans="1:9" x14ac:dyDescent="0.3">
      <c r="A43" s="26"/>
      <c r="B43" s="26"/>
      <c r="C43" s="11" t="s">
        <v>53</v>
      </c>
      <c r="D43" s="12">
        <f>SUM($D42:D42)</f>
        <v>0</v>
      </c>
      <c r="E43" s="12">
        <f>SUM($D42:E42)</f>
        <v>0</v>
      </c>
      <c r="F43" s="12">
        <f>SUM($D42:F42)</f>
        <v>31.25</v>
      </c>
      <c r="G43" s="12">
        <f>SUM($D42:G42)</f>
        <v>62.5</v>
      </c>
      <c r="H43" s="12">
        <f>SUM($D42:H42)</f>
        <v>93.75</v>
      </c>
      <c r="I43" s="12">
        <f>SUM($D42:I42)</f>
        <v>100</v>
      </c>
    </row>
    <row r="44" spans="1:9" x14ac:dyDescent="0.3">
      <c r="A44" s="28" t="s">
        <v>103</v>
      </c>
      <c r="B44" s="29" t="s">
        <v>74</v>
      </c>
      <c r="C44" s="4" t="s">
        <v>52</v>
      </c>
      <c r="D44" s="9">
        <f>SUM('Avance Diario'!G45:L45)</f>
        <v>0</v>
      </c>
      <c r="E44" s="9">
        <f>SUM('Avance Diario'!M45:S45)</f>
        <v>0</v>
      </c>
      <c r="F44" s="9">
        <f>SUM('Avance Diario'!T45:Z45)</f>
        <v>83.333333333333343</v>
      </c>
      <c r="G44" s="9">
        <f>SUM('Avance Diario'!AA45:AG45)</f>
        <v>16.666666666666668</v>
      </c>
      <c r="H44" s="9">
        <f>SUM('Avance Diario'!AH45:AN45)</f>
        <v>0</v>
      </c>
      <c r="I44" s="9">
        <f>SUM('Avance Diario'!AO45:AQ45)</f>
        <v>0</v>
      </c>
    </row>
    <row r="45" spans="1:9" x14ac:dyDescent="0.3">
      <c r="A45" s="28"/>
      <c r="B45" s="28"/>
      <c r="C45" s="11" t="s">
        <v>53</v>
      </c>
      <c r="D45" s="12">
        <f>SUM($D44:D44)</f>
        <v>0</v>
      </c>
      <c r="E45" s="12">
        <f>SUM($D44:E44)</f>
        <v>0</v>
      </c>
      <c r="F45" s="12">
        <f>SUM($D44:F44)</f>
        <v>83.333333333333343</v>
      </c>
      <c r="G45" s="12">
        <f>SUM($D44:G44)</f>
        <v>100.00000000000001</v>
      </c>
      <c r="H45" s="12">
        <f>SUM($D44:H44)</f>
        <v>100.00000000000001</v>
      </c>
      <c r="I45" s="12">
        <f>SUM($D44:I44)</f>
        <v>100.00000000000001</v>
      </c>
    </row>
    <row r="46" spans="1:9" x14ac:dyDescent="0.3">
      <c r="A46" s="28" t="s">
        <v>104</v>
      </c>
      <c r="B46" s="29" t="s">
        <v>75</v>
      </c>
      <c r="C46" s="4" t="s">
        <v>52</v>
      </c>
      <c r="D46" s="9">
        <f>SUM('Avance Diario'!G47:L47)</f>
        <v>0</v>
      </c>
      <c r="E46" s="9">
        <f>SUM('Avance Diario'!M47:S47)</f>
        <v>0</v>
      </c>
      <c r="F46" s="9">
        <f>SUM('Avance Diario'!T47:Z47)</f>
        <v>0</v>
      </c>
      <c r="G46" s="9">
        <f>SUM('Avance Diario'!AA47:AG47)</f>
        <v>40</v>
      </c>
      <c r="H46" s="9">
        <f>SUM('Avance Diario'!AH47:AN47)</f>
        <v>50</v>
      </c>
      <c r="I46" s="9">
        <f>SUM('Avance Diario'!AO47:AQ47)</f>
        <v>10</v>
      </c>
    </row>
    <row r="47" spans="1:9" x14ac:dyDescent="0.3">
      <c r="A47" s="28"/>
      <c r="B47" s="28"/>
      <c r="C47" s="11" t="s">
        <v>53</v>
      </c>
      <c r="D47" s="12">
        <f>SUM($D46:D46)</f>
        <v>0</v>
      </c>
      <c r="E47" s="12">
        <f>SUM($D46:E46)</f>
        <v>0</v>
      </c>
      <c r="F47" s="12">
        <f>SUM($D46:F46)</f>
        <v>0</v>
      </c>
      <c r="G47" s="12">
        <f>SUM($D46:G46)</f>
        <v>40</v>
      </c>
      <c r="H47" s="12">
        <f>SUM($D46:H46)</f>
        <v>90</v>
      </c>
      <c r="I47" s="12">
        <f>SUM($D46:I46)</f>
        <v>100</v>
      </c>
    </row>
    <row r="48" spans="1:9" x14ac:dyDescent="0.3">
      <c r="A48" s="28" t="s">
        <v>105</v>
      </c>
      <c r="B48" s="29" t="s">
        <v>76</v>
      </c>
      <c r="C48" s="4" t="s">
        <v>52</v>
      </c>
      <c r="D48" s="9">
        <f>SUM('Avance Diario'!G49:L49)</f>
        <v>0</v>
      </c>
      <c r="E48" s="9">
        <f>SUM('Avance Diario'!M49:S49)</f>
        <v>0</v>
      </c>
      <c r="F48" s="9">
        <f>SUM('Avance Diario'!T49:Z49)</f>
        <v>0</v>
      </c>
      <c r="G48" s="9">
        <f>SUM('Avance Diario'!AA49:AG49)</f>
        <v>40</v>
      </c>
      <c r="H48" s="9">
        <f>SUM('Avance Diario'!AH49:AN49)</f>
        <v>50</v>
      </c>
      <c r="I48" s="9">
        <f>SUM('Avance Diario'!AO49:AQ49)</f>
        <v>10</v>
      </c>
    </row>
    <row r="49" spans="1:9" x14ac:dyDescent="0.3">
      <c r="A49" s="28"/>
      <c r="B49" s="28"/>
      <c r="C49" s="11" t="s">
        <v>53</v>
      </c>
      <c r="D49" s="12">
        <f>SUM($D48:D48)</f>
        <v>0</v>
      </c>
      <c r="E49" s="12">
        <f>SUM($D48:E48)</f>
        <v>0</v>
      </c>
      <c r="F49" s="12">
        <f>SUM($D48:F48)</f>
        <v>0</v>
      </c>
      <c r="G49" s="12">
        <f>SUM($D48:G48)</f>
        <v>40</v>
      </c>
      <c r="H49" s="12">
        <f>SUM($D48:H48)</f>
        <v>90</v>
      </c>
      <c r="I49" s="12">
        <f>SUM($D48:I48)</f>
        <v>100</v>
      </c>
    </row>
  </sheetData>
  <mergeCells count="48">
    <mergeCell ref="A44:A45"/>
    <mergeCell ref="B44:B45"/>
    <mergeCell ref="A46:A47"/>
    <mergeCell ref="B46:B47"/>
    <mergeCell ref="A48:A49"/>
    <mergeCell ref="B48:B49"/>
    <mergeCell ref="A38:A39"/>
    <mergeCell ref="B38:B39"/>
    <mergeCell ref="A40:A41"/>
    <mergeCell ref="B40:B41"/>
    <mergeCell ref="A42:A43"/>
    <mergeCell ref="B42:B43"/>
    <mergeCell ref="A32:A33"/>
    <mergeCell ref="B32:B33"/>
    <mergeCell ref="A34:A35"/>
    <mergeCell ref="B34:B35"/>
    <mergeCell ref="A36:A37"/>
    <mergeCell ref="B36:B37"/>
    <mergeCell ref="A26:A27"/>
    <mergeCell ref="B26:B27"/>
    <mergeCell ref="A28:A29"/>
    <mergeCell ref="B28:B29"/>
    <mergeCell ref="A30:A31"/>
    <mergeCell ref="B30:B31"/>
    <mergeCell ref="A20:A21"/>
    <mergeCell ref="B20:B21"/>
    <mergeCell ref="A22:A23"/>
    <mergeCell ref="B22:B23"/>
    <mergeCell ref="A24:A25"/>
    <mergeCell ref="B24:B25"/>
    <mergeCell ref="A14:A15"/>
    <mergeCell ref="B14:B15"/>
    <mergeCell ref="A16:A17"/>
    <mergeCell ref="B16:B17"/>
    <mergeCell ref="A18:A19"/>
    <mergeCell ref="B18:B19"/>
    <mergeCell ref="A8:A9"/>
    <mergeCell ref="B8:B9"/>
    <mergeCell ref="A10:A11"/>
    <mergeCell ref="B10:B11"/>
    <mergeCell ref="A12:A13"/>
    <mergeCell ref="B12:B13"/>
    <mergeCell ref="A2:A3"/>
    <mergeCell ref="B2:B3"/>
    <mergeCell ref="A4:A5"/>
    <mergeCell ref="B4:B5"/>
    <mergeCell ref="A6:A7"/>
    <mergeCell ref="B6:B7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</vt:lpstr>
      <vt:lpstr>Avance Diario</vt:lpstr>
      <vt:lpstr>Avance Semanal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Daniel Salcedo</cp:lastModifiedBy>
  <cp:revision>0</cp:revision>
  <dcterms:created xsi:type="dcterms:W3CDTF">2026-09-24T17:20:41Z</dcterms:created>
  <dcterms:modified xsi:type="dcterms:W3CDTF">2026-09-29T02:36:54Z</dcterms:modified>
  <dc:language>en-US</dc:language>
</cp:coreProperties>
</file>